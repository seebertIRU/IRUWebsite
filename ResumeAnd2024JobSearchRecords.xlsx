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1ed1e3cf60a906/Resume/"/>
    </mc:Choice>
  </mc:AlternateContent>
  <xr:revisionPtr revIDLastSave="801" documentId="8_{1E7D90E7-17C1-491D-8203-6D744284F185}" xr6:coauthVersionLast="47" xr6:coauthVersionMax="47" xr10:uidLastSave="{4BFB2A1F-C7B1-4CE6-8713-C60F93BF3055}"/>
  <bookViews>
    <workbookView xWindow="-110" yWindow="14300" windowWidth="21820" windowHeight="13900" xr2:uid="{9E760C72-5D6C-450A-A356-81EC37289A7E}"/>
  </bookViews>
  <sheets>
    <sheet name="Job Search" sheetId="1" r:id="rId1"/>
    <sheet name="TechSkills" sheetId="3" r:id="rId2"/>
    <sheet name="WorkHistory" sheetId="5" r:id="rId3"/>
    <sheet name="WorkHistoryAccomplishments" sheetId="6" r:id="rId4"/>
    <sheet name="References" sheetId="7" r:id="rId5"/>
    <sheet name="CoreCompetencies" sheetId="4" r:id="rId6"/>
    <sheet name="Insuranc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7" i="6"/>
</calcChain>
</file>

<file path=xl/sharedStrings.xml><?xml version="1.0" encoding="utf-8"?>
<sst xmlns="http://schemas.openxmlformats.org/spreadsheetml/2006/main" count="702" uniqueCount="381">
  <si>
    <t>Date</t>
  </si>
  <si>
    <t>Company</t>
  </si>
  <si>
    <t>Person</t>
  </si>
  <si>
    <t>Position</t>
  </si>
  <si>
    <t>Contact type</t>
  </si>
  <si>
    <t>Results</t>
  </si>
  <si>
    <t>Convene, Inc United States</t>
  </si>
  <si>
    <t>Linked In Easy Apply</t>
  </si>
  <si>
    <t>Senior Business Intelligence Analyst</t>
  </si>
  <si>
    <t>Easy Apply</t>
  </si>
  <si>
    <t>Applied</t>
  </si>
  <si>
    <t>McLaren Strategic Solutions</t>
  </si>
  <si>
    <t>Experienced Data Analyst for Azure Datbricks</t>
  </si>
  <si>
    <t>NavigatorCRE</t>
  </si>
  <si>
    <t>BI Engineer</t>
  </si>
  <si>
    <t>Ascensus</t>
  </si>
  <si>
    <t>Data Engineer</t>
  </si>
  <si>
    <t>EXL</t>
  </si>
  <si>
    <t>Blue Flag LLP</t>
  </si>
  <si>
    <t>InterEx Group</t>
  </si>
  <si>
    <t>APR Staffing</t>
  </si>
  <si>
    <t>Eliassen Group</t>
  </si>
  <si>
    <t>ERPMARK INC</t>
  </si>
  <si>
    <t>Buyout offered</t>
  </si>
  <si>
    <t>Perceptx, Inc</t>
  </si>
  <si>
    <t>Linked In Professional Suscription</t>
  </si>
  <si>
    <t>jaclyn.mccutchan@intel.com</t>
  </si>
  <si>
    <t>HR Intel- this was where I was offered severance pay</t>
  </si>
  <si>
    <t>laid off</t>
  </si>
  <si>
    <t>skills not fit for project</t>
  </si>
  <si>
    <t>Senior Data Engineer Snowflake</t>
  </si>
  <si>
    <t>Senior Data Analyst and BI Developer</t>
  </si>
  <si>
    <t>Data Analyst</t>
  </si>
  <si>
    <t>Sr. BI Developer Analyst</t>
  </si>
  <si>
    <t>SSIS/SQL Developer with SAS migration</t>
  </si>
  <si>
    <t>Sr Product Data Analyst</t>
  </si>
  <si>
    <t>$44.95/month</t>
  </si>
  <si>
    <t>Buyout accepted</t>
  </si>
  <si>
    <t>HR Intel- accepted buyout, turned in laptop and badge</t>
  </si>
  <si>
    <t>Atlas</t>
  </si>
  <si>
    <t>World Wide Technology</t>
  </si>
  <si>
    <t>SQL Seveloper</t>
  </si>
  <si>
    <t xml:space="preserve">Senior Data Analyst   </t>
  </si>
  <si>
    <t>ITR Group</t>
  </si>
  <si>
    <t>SQL Senior Business Intelligence Developer</t>
  </si>
  <si>
    <t>Compunnel</t>
  </si>
  <si>
    <t>Senior Data Science Business Analysit</t>
  </si>
  <si>
    <t>Wipro Technologies</t>
  </si>
  <si>
    <t>Ascendion</t>
  </si>
  <si>
    <t>Data Engineer Menlo Park CA</t>
  </si>
  <si>
    <t xml:space="preserve"> SQL Developer</t>
  </si>
  <si>
    <t>Visionaire Partners</t>
  </si>
  <si>
    <t>ETL Data Analytics Engineer</t>
  </si>
  <si>
    <t>Stanly David and Associates</t>
  </si>
  <si>
    <t>Senior Data Analyst</t>
  </si>
  <si>
    <t>MasTech Digital</t>
  </si>
  <si>
    <t>IT-Data Analyst</t>
  </si>
  <si>
    <t>Energize Group</t>
  </si>
  <si>
    <t>US Tech Solutions</t>
  </si>
  <si>
    <t>DataSelf Corp</t>
  </si>
  <si>
    <t>Power BI Expert</t>
  </si>
  <si>
    <t>Ssi People</t>
  </si>
  <si>
    <t>Flex Analytics</t>
  </si>
  <si>
    <t>MMD Services</t>
  </si>
  <si>
    <t>Eteam</t>
  </si>
  <si>
    <t>Appllied</t>
  </si>
  <si>
    <t>Data Science Specialist</t>
  </si>
  <si>
    <t>Qumodity</t>
  </si>
  <si>
    <t>SGF Global</t>
  </si>
  <si>
    <t>Golden Technology</t>
  </si>
  <si>
    <t>Tree Top Staffing</t>
  </si>
  <si>
    <t>Power BI Administrator</t>
  </si>
  <si>
    <t>Contact Info</t>
  </si>
  <si>
    <t>12/12 prexisting condition clause- surgery for prexisting has 1 year waiting period</t>
  </si>
  <si>
    <t>April 1  30 day waiting period is for primary doctor visits (push to May)</t>
  </si>
  <si>
    <t>1st pay</t>
  </si>
  <si>
    <t>1st of each month</t>
  </si>
  <si>
    <t xml:space="preserve">Major Medical </t>
  </si>
  <si>
    <t xml:space="preserve">Group Accident/Medical and sickness plan </t>
  </si>
  <si>
    <t>Cards</t>
  </si>
  <si>
    <t>NCE Percription/dental/vision</t>
  </si>
  <si>
    <t>First Health is the primary card.</t>
  </si>
  <si>
    <t>Confirmation # PHS1738</t>
  </si>
  <si>
    <t>Confirmation of sending to Kroger</t>
  </si>
  <si>
    <t>Submittal</t>
  </si>
  <si>
    <t>Harshit Agrwal hagarwal@goldenitinc.com</t>
  </si>
  <si>
    <t>Kroger Senior Data Analyst</t>
  </si>
  <si>
    <t>9am-6pm Eastern</t>
  </si>
  <si>
    <t>KoncertAI</t>
  </si>
  <si>
    <t>Interview Scheduled</t>
  </si>
  <si>
    <t>Interview</t>
  </si>
  <si>
    <t>Inbterview</t>
  </si>
  <si>
    <t>Robert Half</t>
  </si>
  <si>
    <t>Business Intelligence Analyst</t>
  </si>
  <si>
    <t>Medasource</t>
  </si>
  <si>
    <t>Nortek</t>
  </si>
  <si>
    <t>Vista Outdoor</t>
  </si>
  <si>
    <t>Power BI Developer</t>
  </si>
  <si>
    <t>Senior Business Inteligence Developer</t>
  </si>
  <si>
    <t>Phone/Email</t>
  </si>
  <si>
    <t>OEC</t>
  </si>
  <si>
    <t>Senior Business Analyst- SaaS and Sales</t>
  </si>
  <si>
    <t>KDR</t>
  </si>
  <si>
    <t>Analytics Engineer</t>
  </si>
  <si>
    <t>855-628-0522 - x903</t>
  </si>
  <si>
    <t>866-394-0094 Robin</t>
  </si>
  <si>
    <t>Catapult Solutions Group</t>
  </si>
  <si>
    <t>Abnormal Security</t>
  </si>
  <si>
    <t>https://careers.abnormalsecurity.com/jobs/5910834003?gh_jid=5910834003&amp;gh_src=ff6e8ad03us</t>
  </si>
  <si>
    <t>Applied at website</t>
  </si>
  <si>
    <t>Kforce</t>
  </si>
  <si>
    <t xml:space="preserve">Applied </t>
  </si>
  <si>
    <t>Job 2127~TVT~2105477T1~99</t>
  </si>
  <si>
    <t>Business Data Analyst</t>
  </si>
  <si>
    <t>Applied at Kforce</t>
  </si>
  <si>
    <t>Scheduling</t>
  </si>
  <si>
    <t>Phone interview on above job</t>
  </si>
  <si>
    <t>Scheuled interview</t>
  </si>
  <si>
    <t>Global Managed Services</t>
  </si>
  <si>
    <t xml:space="preserve">Email on BBBH405004/Application for BB Job ID:BBBH405004 - via LinkedIn from LinkedIn that I don't remember </t>
  </si>
  <si>
    <t>I don't remember applying for this</t>
  </si>
  <si>
    <t>Everest Consulting</t>
  </si>
  <si>
    <t>Data Developer (Nike)</t>
  </si>
  <si>
    <t>Data Modler</t>
  </si>
  <si>
    <t>The Kinetic Group</t>
  </si>
  <si>
    <t>Senior BI Analyst</t>
  </si>
  <si>
    <t>Interview request</t>
  </si>
  <si>
    <t xml:space="preserve">SEAP </t>
  </si>
  <si>
    <t>Researching</t>
  </si>
  <si>
    <t>Research for reopening http://www.informationr.us</t>
  </si>
  <si>
    <t>Advize</t>
  </si>
  <si>
    <t>WiseHire Recruitment</t>
  </si>
  <si>
    <t>Data Consultant</t>
  </si>
  <si>
    <t>Trademark Global LLC</t>
  </si>
  <si>
    <t>Business Intelligence Data Engineer</t>
  </si>
  <si>
    <t>General Motors</t>
  </si>
  <si>
    <t>https://generalmotors.wd5.myworkdayjobs.com/Careers_GM/job/Warren-Michigan-United-States-of-America/Data-Engineer--Marketing-Analytics_JR-202406522</t>
  </si>
  <si>
    <t>Marketing Analyst</t>
  </si>
  <si>
    <t>D. Pickett referred</t>
  </si>
  <si>
    <t>Nike</t>
  </si>
  <si>
    <t>https://www.livehire.com/careers/nikeinc/job/96Y3K/O7ZFP2MSJ3/software-engineer-expert</t>
  </si>
  <si>
    <t>Expert Software Engineer</t>
  </si>
  <si>
    <t>Salient</t>
  </si>
  <si>
    <t>Mastech Digital</t>
  </si>
  <si>
    <t>Optomi</t>
  </si>
  <si>
    <t>Technology Ventures</t>
  </si>
  <si>
    <t>Mavensoft Technologies</t>
  </si>
  <si>
    <t>Cold Call</t>
  </si>
  <si>
    <t>Apex</t>
  </si>
  <si>
    <t>Really old resume cold call</t>
  </si>
  <si>
    <t>Cold Call from recuriter</t>
  </si>
  <si>
    <t>Sent Resume</t>
  </si>
  <si>
    <t>Business Intelligence Developer</t>
  </si>
  <si>
    <t>Business Analyst</t>
  </si>
  <si>
    <t>Motion Recruitment</t>
  </si>
  <si>
    <t>K&amp;K Global Talent Solutions</t>
  </si>
  <si>
    <t>Scalene Works</t>
  </si>
  <si>
    <t>Type</t>
  </si>
  <si>
    <t>Skill</t>
  </si>
  <si>
    <t>YearsOfExperience</t>
  </si>
  <si>
    <t>Environments</t>
  </si>
  <si>
    <t>Windows Server</t>
  </si>
  <si>
    <t>Windows Client</t>
  </si>
  <si>
    <t>Azure</t>
  </si>
  <si>
    <t>Linux</t>
  </si>
  <si>
    <t>Databases</t>
  </si>
  <si>
    <t>SQL Server</t>
  </si>
  <si>
    <t>Azure Datalake</t>
  </si>
  <si>
    <t>Oracle</t>
  </si>
  <si>
    <t>SQL Lite</t>
  </si>
  <si>
    <t>MySQL</t>
  </si>
  <si>
    <t>MariaDB</t>
  </si>
  <si>
    <t>MongoDB</t>
  </si>
  <si>
    <t>Denodo</t>
  </si>
  <si>
    <t>Active Directory</t>
  </si>
  <si>
    <t>C#</t>
  </si>
  <si>
    <t>LastUsed</t>
  </si>
  <si>
    <t>HighLevelLanguage</t>
  </si>
  <si>
    <t>Java</t>
  </si>
  <si>
    <t>Perl</t>
  </si>
  <si>
    <t>Python</t>
  </si>
  <si>
    <t>M</t>
  </si>
  <si>
    <t>Dax</t>
  </si>
  <si>
    <t>SQL</t>
  </si>
  <si>
    <t>PHP</t>
  </si>
  <si>
    <t>HTML</t>
  </si>
  <si>
    <t>Javascript</t>
  </si>
  <si>
    <t>PowerShell</t>
  </si>
  <si>
    <t>CMD</t>
  </si>
  <si>
    <t>Bash</t>
  </si>
  <si>
    <t>ASP</t>
  </si>
  <si>
    <t>Linq</t>
  </si>
  <si>
    <t>C++</t>
  </si>
  <si>
    <t>Method</t>
  </si>
  <si>
    <t>Scripting</t>
  </si>
  <si>
    <t>Procedural</t>
  </si>
  <si>
    <t>CI/CD</t>
  </si>
  <si>
    <t>Scrum</t>
  </si>
  <si>
    <t>Agile</t>
  </si>
  <si>
    <t>Waterfall</t>
  </si>
  <si>
    <t>CURLRest</t>
  </si>
  <si>
    <t>DataDescriptionSchema</t>
  </si>
  <si>
    <t>JSON</t>
  </si>
  <si>
    <t>XML</t>
  </si>
  <si>
    <t>CSV</t>
  </si>
  <si>
    <t>ODBC</t>
  </si>
  <si>
    <t>REST</t>
  </si>
  <si>
    <t>JDBC</t>
  </si>
  <si>
    <t>Framework</t>
  </si>
  <si>
    <t>Web Forms</t>
  </si>
  <si>
    <t>Windows Forms</t>
  </si>
  <si>
    <t>ASP.NET</t>
  </si>
  <si>
    <t>PowerBI</t>
  </si>
  <si>
    <t>SSIS</t>
  </si>
  <si>
    <t>SSAS</t>
  </si>
  <si>
    <t>PythonData</t>
  </si>
  <si>
    <t>SLMT</t>
  </si>
  <si>
    <t>Jira</t>
  </si>
  <si>
    <t>GIT</t>
  </si>
  <si>
    <t>Red Hat SQL Tools</t>
  </si>
  <si>
    <t xml:space="preserve">Microsoft Project </t>
  </si>
  <si>
    <t>Gantt Charts</t>
  </si>
  <si>
    <t>Visio DFD</t>
  </si>
  <si>
    <t>Visual Bugs</t>
  </si>
  <si>
    <t>Visual Studio IDE</t>
  </si>
  <si>
    <t>BITools</t>
  </si>
  <si>
    <t>Office365</t>
  </si>
  <si>
    <t>Execl</t>
  </si>
  <si>
    <t>Word</t>
  </si>
  <si>
    <t>Crystal Reports</t>
  </si>
  <si>
    <t>Competency</t>
  </si>
  <si>
    <t>ID</t>
  </si>
  <si>
    <t>Coding Standards</t>
  </si>
  <si>
    <t>Inventory Management Automation</t>
  </si>
  <si>
    <t>Data Entry Integrity</t>
  </si>
  <si>
    <t>Centralized Data Services</t>
  </si>
  <si>
    <t>Server Stored procedures</t>
  </si>
  <si>
    <t>CompetencyID</t>
  </si>
  <si>
    <t>BeginDate</t>
  </si>
  <si>
    <t>EndDate</t>
  </si>
  <si>
    <t>JobTitle</t>
  </si>
  <si>
    <t>Organization</t>
  </si>
  <si>
    <t>Enterprise Architect</t>
  </si>
  <si>
    <t>Intel - MSO</t>
  </si>
  <si>
    <t>Data Analyst Developer</t>
  </si>
  <si>
    <t>Intel - DCAI</t>
  </si>
  <si>
    <t>Data Detective</t>
  </si>
  <si>
    <t>Extreme Consulting - Freightliner</t>
  </si>
  <si>
    <t xml:space="preserve">Senior Consultant </t>
  </si>
  <si>
    <t>Software Technology Group</t>
  </si>
  <si>
    <t>WHID</t>
  </si>
  <si>
    <t>Accomplishment</t>
  </si>
  <si>
    <t>Provided Support for Agile and SQL 2022 conversion, while increasing agile processes in a multi-geographic team.</t>
  </si>
  <si>
    <t>Participated in a cross-functional, cross-geo team with 90% remote members, improving team connection and morale with daily time zone efficient meetings</t>
  </si>
  <si>
    <t>Created deployment pipelines in Azure</t>
  </si>
  <si>
    <t>Added automated reporting and data quality analysis to PACT team saving $1.4 million/year.</t>
  </si>
  <si>
    <t>Participated in a cross-functional, cross-geo team with 90% remote members, improving team connection and morale with daily time zone efficient meetings.</t>
  </si>
  <si>
    <t>Tested and updated 36 ETL processes for upgrade from SQL 2018 to SQL 2022 in Azure</t>
  </si>
  <si>
    <t xml:space="preserve">	Automated inventory management for DEO engineering samples, resulting in a 35% increase in reuse between platforms.</t>
  </si>
  <si>
    <t xml:space="preserve">	Automated EDI from 15 tools into a centralized data lake for combining data, resulting in a 1085 man-hour per year savings in refreshing dashboards.</t>
  </si>
  <si>
    <t xml:space="preserve">	Advised internal clients about data entry issues discovered in the ETL Process, reducing errors and giving better data integrity.</t>
  </si>
  <si>
    <t xml:space="preserve">	Tuned a complex set of ETL and EDI automation to maximize server efficiency using SFTP, curl, Python, SSIS and linked server-based solutions in XML, JSON, CSV, and ODBC data sources, enabling automated import from both internal and external data sources.</t>
  </si>
  <si>
    <t xml:space="preserve">	Fulfilled several roles from scrum master to CD/CI deployment, reducing initial investment in the project.</t>
  </si>
  <si>
    <t xml:space="preserve">	Created multiple reports for Optane project managing all aspects of quality assurance, from change requests to defect management, resulting in the Apache Pass and Barlow Pass releases.</t>
  </si>
  <si>
    <t>Analyzed back end schemas and coming up with innovative queries to improve ETL Efficiency and reduce server load.</t>
  </si>
  <si>
    <t xml:space="preserve">	Assisted as a part of a larger group creating data governance and architectural decisions related to a cross-functional Design Group, leading to the OneBOM effort.
</t>
  </si>
  <si>
    <t xml:space="preserve">	Reverse-engineered SAPGUI VBS Scripts, DTS scripts, SSIS scripts, 1734 table, 4000 Views, 3000 stored procedures SQL Server 2005, for a database containing the full parts supply chain for North America Freightliner.</t>
  </si>
  <si>
    <t xml:space="preserve">	Coded C# WPF Application and SQL Server Stored Procedures to interface an ordering database to a Domino laser for marking glass panes, enabling reorder for breakage in factory and reducing waste 23%.</t>
  </si>
  <si>
    <t xml:space="preserve">	Created an MVC C# Data Entry and Reporting Tool, running Ubuntu Linux/Firefox HTML5 on the front end, Windows/Chrome/HTML5 in the back office, and SQL Server stored procedures for complex reporting from the back end enabling GIS and GPS reporting of delivery trucks.</t>
  </si>
  <si>
    <t xml:space="preserve">	Increased functionality on ASP.NET 4.0 Webforms website, editing CSS, modifying HTML5 and handling changes from Exigo web service/Azure Database for a large HR customer drawing online org charts.</t>
  </si>
  <si>
    <t>Intel - CPTD</t>
  </si>
  <si>
    <t>Data Architect</t>
  </si>
  <si>
    <t>Intel - CPTD (Mindteck Contract)</t>
  </si>
  <si>
    <t>Consultant</t>
  </si>
  <si>
    <t>Software Engineering Consultant</t>
  </si>
  <si>
    <t>Apex Systems</t>
  </si>
  <si>
    <t>Independent Consultant</t>
  </si>
  <si>
    <t>Informaiton-R-Us</t>
  </si>
  <si>
    <t xml:space="preserve">Software Engineer </t>
  </si>
  <si>
    <t>PTI Global</t>
  </si>
  <si>
    <t>Software Analyst</t>
  </si>
  <si>
    <t>ODOT</t>
  </si>
  <si>
    <t>MSOffice and VB Consultant</t>
  </si>
  <si>
    <t>Galt Foundation</t>
  </si>
  <si>
    <t>SupportFreaks.com</t>
  </si>
  <si>
    <t>Software Engineer</t>
  </si>
  <si>
    <t>Wellsource, Inc</t>
  </si>
  <si>
    <t>Cascade Consulting</t>
  </si>
  <si>
    <t>IMG Inc</t>
  </si>
  <si>
    <t>Casino Software Corporation of America</t>
  </si>
  <si>
    <t>City</t>
  </si>
  <si>
    <t>Hillsboro, OR</t>
  </si>
  <si>
    <t>Portland, OR</t>
  </si>
  <si>
    <t>Customer</t>
  </si>
  <si>
    <t>Intel</t>
  </si>
  <si>
    <t>Wellsource</t>
  </si>
  <si>
    <t>Freightliner</t>
  </si>
  <si>
    <t>Beaverton, OR</t>
  </si>
  <si>
    <t>General Glass</t>
  </si>
  <si>
    <t>Infobahn Softworld</t>
  </si>
  <si>
    <t>Integra Telecom</t>
  </si>
  <si>
    <t>Various</t>
  </si>
  <si>
    <t>Salem, OR</t>
  </si>
  <si>
    <t>Clackamas, OR</t>
  </si>
  <si>
    <t>Casino Software Corporation of Canada</t>
  </si>
  <si>
    <t>Tektronix</t>
  </si>
  <si>
    <t>Cascade Stock Trading Group</t>
  </si>
  <si>
    <t>Teledial</t>
  </si>
  <si>
    <t>Continued to maintain reports for Intel CPTD with SQL Server 2012, SQL Server 2008, Aegis,  WCF, MVC and JQuery</t>
  </si>
  <si>
    <t>Created datapath from SQL Pathfinder to XML to SQL Server 2012 to keep Enforcer working (an Access front end tool used by CPTD Debug Team)</t>
  </si>
  <si>
    <t xml:space="preserve">	Managed transition of older Access reports using Aegis Excel extracts to SAP ME using SQL Pathfinder</t>
  </si>
  <si>
    <t>Created a reporting database for Intel CPTD group with SQL Server 2012, SQL Server 2008, Aegis,  MVC and JQuery</t>
  </si>
  <si>
    <t xml:space="preserve">Redesigned 1st normal form data warehouse to 4th normal form with random incoming data in SQL Server with redundancy including mirrored server and watch server.  </t>
  </si>
  <si>
    <t>Main Database Administrator for the project</t>
  </si>
  <si>
    <t>Developed complex BI front end in C#, ASP.NET 4.5, WCF, HTML 5 and Javascript, MVC</t>
  </si>
  <si>
    <t>Managed legacy client-server system with over 8000 active users and multiple databases tied to other systems for Integra.</t>
  </si>
  <si>
    <t>Back end SQL Server 2008, front end VB6/C#/VB.NET/ WPF on a Citrix Virtual Server</t>
  </si>
  <si>
    <t>Main database developer for the project</t>
  </si>
  <si>
    <t>Visual Studio 2003-2005-2008-2010, SQL Server 2010, ASP.NET 3.5, Windows XP, Windows 7, Excel Macro 2007/2010, SSRS, AcitveReports</t>
  </si>
  <si>
    <t>Software Modifications to PTI Global timecard system as needed, Visual Studio 2003/Visual Studio 2008 with Access backend</t>
  </si>
  <si>
    <t xml:space="preserve">Analyzed VB6/VB.NET/ WPF /C#/SQL Server 2008 LIMS system for ZRT Laboratory, a local medical analysis company.  Used WCF to design a REST web service link to new online reporting system in XML, using TDD architecture. Modified WPF layer for printing of PDF reports.  </t>
  </si>
  <si>
    <t>Contracted to Intel working on hardware testing software comparing performance of 8 different laptop systems with 26 variants, using VBScript and AutoIt for automation, Assembly Language, SQL 2005, VB.NET WPF and Waitn shell scripting, working on a team using Agile Development</t>
  </si>
  <si>
    <t>Contracted to Intel working on extranet e-commerce application to schedule classes and order class materials to promote technology use in the classroom for K-12 teachers, using SQL 2005, C# 2008, ASP.NET 3.5, WCF, HTML 4.0, CSS &amp; Javascript</t>
  </si>
  <si>
    <t xml:space="preserve">Designed the next-generation 3rd tier form database for the internal timecard project. </t>
  </si>
  <si>
    <t>Worked on a variety of support &amp; maintenance projects in VB, C#, AJAX, ASP.NET, and SQL Server Transact SQL</t>
  </si>
  <si>
    <t xml:space="preserve">Helped create major n-tier business projects on the intranet in the areas of utility bill processing, rail inspection, and civil rights using Agile Development, VB.NET 2003, SQL Server and Crystal Reports 11.  </t>
  </si>
  <si>
    <t>Worked on Fleet Condition Model covering a $350 million set of assets</t>
  </si>
  <si>
    <t>Worked on Contract with State Agency</t>
  </si>
  <si>
    <t>Primary responsibility upgrading databases for Windows XP Rollout (Agency was moving from Office 97 base to Office 2002 base).</t>
  </si>
  <si>
    <t>Secondary Responsibility major rewrite of database linking for sets of users with a mixture of Windows XP and Windows NT installations</t>
  </si>
  <si>
    <t>Provide immediate technical support to visitors to the site via chat, email and telephone.</t>
  </si>
  <si>
    <t>Created dynamic system which enabled users to access the database from Web as well as Desktop.</t>
  </si>
  <si>
    <t>Designed databases in 3rd normal form.</t>
  </si>
  <si>
    <t>Created 4-tier ActiveX Com+ components in VB 6.0 that used XML for communication between layers using Agile Development in SQL Server 7.</t>
  </si>
  <si>
    <t>Acted as primary programmer for analysis, design, implementation and installation of a server-side EXE that created ASP pages based on input data and generated e-mail alerts to the client's customers in VB 5, ASP, and SQL Server 6.5 in 3rd normal form with denormalized star schema views.</t>
  </si>
  <si>
    <t>System enabled day traders to get alerts on stock market data from a single source.</t>
  </si>
  <si>
    <t>Used programming and technical skills to create enterprising and effective programs, which helped the sales force at a Fortune 500 Company meet sales goals Oracle 8i and Crystal Reports/Crystal Info Server 6.</t>
  </si>
  <si>
    <t>Assisted in programming fish-tracking project for government agency, which allowed field experts to bar code and categorize salmon growth and return rates using VB4 &amp; Access.</t>
  </si>
  <si>
    <t>Created manufacturing scheduling system which enabled a plastic products manufacturer to better use machine time using VB3.0 &amp; Sybase SQL Anywhere.</t>
  </si>
  <si>
    <t>Worked on all core products and led the software development of Las Vegas version of software.</t>
  </si>
  <si>
    <t>Created demo product to attract financing from Casinos, including a CD-ROM to distribute at shows.</t>
  </si>
  <si>
    <t>VB 3.0, SQL Server 6, SQL Server 6.5, Access 2.0, Crystal Reports 2, Crystal Reports 3, Crystal Reports 4</t>
  </si>
  <si>
    <t>Name</t>
  </si>
  <si>
    <t>Title</t>
  </si>
  <si>
    <t>Phone</t>
  </si>
  <si>
    <t>Job Search Activity</t>
  </si>
  <si>
    <t>Resume Updating</t>
  </si>
  <si>
    <t>Resume in PowerBI format</t>
  </si>
  <si>
    <t>Resume</t>
  </si>
  <si>
    <t>Brooksource</t>
  </si>
  <si>
    <t>Bird</t>
  </si>
  <si>
    <t>Reporting Analyst</t>
  </si>
  <si>
    <t>Senior Analyst Product</t>
  </si>
  <si>
    <t>Engtal</t>
  </si>
  <si>
    <t>Insight Global</t>
  </si>
  <si>
    <t>Incedo Inc</t>
  </si>
  <si>
    <t>Cygnus Professionals Inc</t>
  </si>
  <si>
    <t>Staffing Technolgies</t>
  </si>
  <si>
    <t>Entry Level Data Anlyst</t>
  </si>
  <si>
    <t>Sr. Buysiness Analyst</t>
  </si>
  <si>
    <t>Salsify - PXM Developer/Configuration Model Adminstrator</t>
  </si>
  <si>
    <t>Eligibility call Unemployment</t>
  </si>
  <si>
    <t>Letter ID L0003378363   L0003144628</t>
  </si>
  <si>
    <t>Minnesota</t>
  </si>
  <si>
    <t>Enterprise Architect for split in companies</t>
  </si>
  <si>
    <t>Data  Analyst</t>
  </si>
  <si>
    <t>SR Soft LLC</t>
  </si>
  <si>
    <r>
      <t>Member:</t>
    </r>
    <r>
      <rPr>
        <sz val="9"/>
        <color rgb="FF000000"/>
        <rFont val="Arial"/>
        <family val="2"/>
      </rPr>
      <t> Theodore Seeber</t>
    </r>
  </si>
  <si>
    <r>
      <t>Member ID:</t>
    </r>
    <r>
      <rPr>
        <sz val="9"/>
        <color rgb="FF000000"/>
        <rFont val="Arial"/>
        <family val="2"/>
      </rPr>
      <t> VP682375041</t>
    </r>
  </si>
  <si>
    <r>
      <t>Group #:</t>
    </r>
    <r>
      <rPr>
        <sz val="9"/>
        <color rgb="FF000000"/>
        <rFont val="Arial"/>
        <family val="2"/>
      </rPr>
      <t> VITA 1</t>
    </r>
  </si>
  <si>
    <r>
      <t>Plan Sponsor:</t>
    </r>
    <r>
      <rPr>
        <sz val="9"/>
        <color rgb="FF000000"/>
        <rFont val="Arial"/>
        <family val="2"/>
      </rPr>
      <t> The Vitamin Patch</t>
    </r>
  </si>
  <si>
    <t>Family</t>
  </si>
  <si>
    <t>Green Key Resources</t>
  </si>
  <si>
    <t>Sr. Azure Data Engineer</t>
  </si>
  <si>
    <t>LTI MindTree</t>
  </si>
  <si>
    <t>Power BI Architect</t>
  </si>
  <si>
    <t>https://springbrooksoftware.isolvedhire.com/apply/thanks.php?orig_job_app=1135293-27699710</t>
  </si>
  <si>
    <t>Springbook Software</t>
  </si>
  <si>
    <t>Technical Data Consultant</t>
  </si>
  <si>
    <t>email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</si>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</sst>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6" fontId="0" fillId="0" borderId="0" xfId="0" applyNumberFormat="1"/>
    <xf numFmtId="14" fontId="0" fillId="0" borderId="0" xfId="0" applyNumberFormat="1"/>
    <xf numFmtId="0" fontId="1" fillId="0" borderId="0" xfId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vertical="center"/>
    </xf>
    <xf numFmtId="49" fontId="0" fillId="0" borderId="0" xfId="0" applyNumberFormat="1"/>
    <xf numFmtId="0" fontId="4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neralmotors.wd5.myworkdayjobs.com/Careers_GM/job/Warren-Michigan-United-States-of-America/Data-Engineer--Marketing-Analytics_JR-202406522" TargetMode="External"/><Relationship Id="rId2" Type="http://schemas.openxmlformats.org/officeDocument/2006/relationships/hyperlink" Target="mailto:jaclyn.mccutchan@intel.com" TargetMode="External"/><Relationship Id="rId1" Type="http://schemas.openxmlformats.org/officeDocument/2006/relationships/hyperlink" Target="mailto:jaclyn.mccutchan@inte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pringbrooksoftware.isolvedhire.com/apply/thanks.php?orig_job_app=1135293-27699710" TargetMode="External"/><Relationship Id="rId4" Type="http://schemas.openxmlformats.org/officeDocument/2006/relationships/hyperlink" Target="https://www.livehire.com/careers/nikeinc/job/96Y3K/O7ZFP2MSJ3/software-engineer-exper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8CA-B3BC-4109-B52A-23872166E328}">
  <sheetPr>
    <pageSetUpPr fitToPage="1"/>
  </sheetPr>
  <dimension ref="A1:F84"/>
  <sheetViews>
    <sheetView tabSelected="1" topLeftCell="B57" zoomScale="85" zoomScaleNormal="85" workbookViewId="0">
      <selection activeCell="E79" sqref="E79"/>
    </sheetView>
  </sheetViews>
  <sheetFormatPr defaultRowHeight="15" x14ac:dyDescent="0.25"/>
  <cols>
    <col min="1" max="1" width="24.140625" customWidth="1"/>
    <col min="2" max="2" width="31.28515625" customWidth="1"/>
    <col min="3" max="3" width="20.7109375" customWidth="1"/>
    <col min="4" max="4" width="101.7109375" customWidth="1"/>
    <col min="5" max="5" width="46" customWidth="1"/>
    <col min="6" max="6" width="20.42578125" customWidth="1"/>
  </cols>
  <sheetData>
    <row r="1" spans="1:6" x14ac:dyDescent="0.25">
      <c r="A1" s="4" t="s">
        <v>0</v>
      </c>
      <c r="B1" s="4" t="s">
        <v>1</v>
      </c>
      <c r="C1" s="4" t="s">
        <v>5</v>
      </c>
      <c r="D1" s="4" t="s">
        <v>2</v>
      </c>
      <c r="E1" s="4" t="s">
        <v>3</v>
      </c>
      <c r="F1" s="4" t="s">
        <v>4</v>
      </c>
    </row>
    <row r="2" spans="1:6" x14ac:dyDescent="0.25">
      <c r="A2" s="1">
        <v>45349</v>
      </c>
      <c r="B2" t="s">
        <v>6</v>
      </c>
      <c r="C2" t="s">
        <v>10</v>
      </c>
      <c r="D2" t="s">
        <v>7</v>
      </c>
      <c r="E2" t="s">
        <v>8</v>
      </c>
      <c r="F2" t="s">
        <v>9</v>
      </c>
    </row>
    <row r="3" spans="1:6" x14ac:dyDescent="0.25">
      <c r="A3" s="2">
        <v>45349</v>
      </c>
      <c r="B3" t="s">
        <v>11</v>
      </c>
      <c r="C3" t="s">
        <v>10</v>
      </c>
      <c r="D3" t="s">
        <v>7</v>
      </c>
      <c r="E3" t="s">
        <v>12</v>
      </c>
      <c r="F3" t="s">
        <v>9</v>
      </c>
    </row>
    <row r="4" spans="1:6" x14ac:dyDescent="0.25">
      <c r="A4" s="2">
        <v>45349</v>
      </c>
      <c r="B4" t="s">
        <v>13</v>
      </c>
      <c r="C4" t="s">
        <v>10</v>
      </c>
      <c r="D4" t="s">
        <v>7</v>
      </c>
      <c r="E4" t="s">
        <v>14</v>
      </c>
      <c r="F4" t="s">
        <v>9</v>
      </c>
    </row>
    <row r="5" spans="1:6" x14ac:dyDescent="0.25">
      <c r="A5" s="2">
        <v>45349</v>
      </c>
      <c r="B5" t="s">
        <v>15</v>
      </c>
      <c r="C5" t="s">
        <v>10</v>
      </c>
      <c r="D5" t="s">
        <v>7</v>
      </c>
      <c r="E5" t="s">
        <v>16</v>
      </c>
      <c r="F5" t="s">
        <v>9</v>
      </c>
    </row>
    <row r="6" spans="1:6" x14ac:dyDescent="0.25">
      <c r="A6" s="2">
        <v>45349</v>
      </c>
      <c r="B6" t="s">
        <v>17</v>
      </c>
      <c r="C6" t="s">
        <v>10</v>
      </c>
      <c r="D6" t="s">
        <v>7</v>
      </c>
      <c r="E6" t="s">
        <v>30</v>
      </c>
      <c r="F6" t="s">
        <v>9</v>
      </c>
    </row>
    <row r="7" spans="1:6" x14ac:dyDescent="0.25">
      <c r="A7" s="2">
        <v>45349</v>
      </c>
      <c r="B7" t="s">
        <v>18</v>
      </c>
      <c r="C7" t="s">
        <v>10</v>
      </c>
      <c r="D7" t="s">
        <v>7</v>
      </c>
      <c r="E7" t="s">
        <v>31</v>
      </c>
      <c r="F7" t="s">
        <v>9</v>
      </c>
    </row>
    <row r="8" spans="1:6" x14ac:dyDescent="0.25">
      <c r="A8" s="2">
        <v>45350</v>
      </c>
      <c r="B8" t="s">
        <v>19</v>
      </c>
      <c r="C8" t="s">
        <v>10</v>
      </c>
      <c r="D8" t="s">
        <v>7</v>
      </c>
      <c r="E8" t="s">
        <v>32</v>
      </c>
      <c r="F8" t="s">
        <v>9</v>
      </c>
    </row>
    <row r="9" spans="1:6" x14ac:dyDescent="0.25">
      <c r="A9" s="2">
        <v>45350</v>
      </c>
      <c r="B9" t="s">
        <v>20</v>
      </c>
      <c r="C9" t="s">
        <v>10</v>
      </c>
      <c r="D9" t="s">
        <v>7</v>
      </c>
      <c r="E9" t="s">
        <v>33</v>
      </c>
      <c r="F9" t="s">
        <v>9</v>
      </c>
    </row>
    <row r="10" spans="1:6" x14ac:dyDescent="0.25">
      <c r="A10" s="2">
        <v>45350</v>
      </c>
      <c r="B10" t="s">
        <v>21</v>
      </c>
      <c r="C10" t="s">
        <v>10</v>
      </c>
      <c r="D10" t="s">
        <v>7</v>
      </c>
      <c r="E10" t="s">
        <v>33</v>
      </c>
      <c r="F10" t="s">
        <v>9</v>
      </c>
    </row>
    <row r="11" spans="1:6" x14ac:dyDescent="0.25">
      <c r="A11" s="2">
        <v>45351</v>
      </c>
      <c r="B11" t="s">
        <v>22</v>
      </c>
      <c r="C11" t="s">
        <v>10</v>
      </c>
      <c r="D11" t="s">
        <v>7</v>
      </c>
      <c r="E11" t="s">
        <v>34</v>
      </c>
      <c r="F11" t="s">
        <v>9</v>
      </c>
    </row>
    <row r="12" spans="1:6" x14ac:dyDescent="0.25">
      <c r="A12" s="2">
        <v>45351</v>
      </c>
      <c r="B12" t="s">
        <v>23</v>
      </c>
      <c r="C12" t="s">
        <v>29</v>
      </c>
      <c r="D12" s="3" t="s">
        <v>26</v>
      </c>
      <c r="E12" t="s">
        <v>27</v>
      </c>
      <c r="F12" t="s">
        <v>28</v>
      </c>
    </row>
    <row r="13" spans="1:6" x14ac:dyDescent="0.25">
      <c r="A13" s="2">
        <v>45351</v>
      </c>
      <c r="B13" t="s">
        <v>24</v>
      </c>
      <c r="C13" t="s">
        <v>10</v>
      </c>
      <c r="D13" t="s">
        <v>7</v>
      </c>
      <c r="E13" t="s">
        <v>35</v>
      </c>
      <c r="F13" t="s">
        <v>9</v>
      </c>
    </row>
    <row r="14" spans="1:6" x14ac:dyDescent="0.25">
      <c r="A14" s="2">
        <v>45351</v>
      </c>
      <c r="B14" t="s">
        <v>25</v>
      </c>
      <c r="C14" t="s">
        <v>36</v>
      </c>
    </row>
    <row r="15" spans="1:6" x14ac:dyDescent="0.25">
      <c r="A15" s="2">
        <v>45352</v>
      </c>
      <c r="B15" t="s">
        <v>37</v>
      </c>
      <c r="C15" t="s">
        <v>29</v>
      </c>
      <c r="D15" s="3" t="s">
        <v>26</v>
      </c>
      <c r="E15" t="s">
        <v>38</v>
      </c>
      <c r="F15" t="s">
        <v>28</v>
      </c>
    </row>
    <row r="16" spans="1:6" x14ac:dyDescent="0.25">
      <c r="A16" s="2">
        <v>45352</v>
      </c>
      <c r="B16" t="s">
        <v>39</v>
      </c>
      <c r="C16" t="s">
        <v>10</v>
      </c>
      <c r="D16" t="s">
        <v>7</v>
      </c>
      <c r="E16" t="s">
        <v>41</v>
      </c>
      <c r="F16" t="s">
        <v>9</v>
      </c>
    </row>
    <row r="17" spans="1:6" x14ac:dyDescent="0.25">
      <c r="A17" s="2">
        <v>45352</v>
      </c>
      <c r="B17" t="s">
        <v>40</v>
      </c>
      <c r="C17" t="s">
        <v>10</v>
      </c>
      <c r="D17" t="s">
        <v>7</v>
      </c>
      <c r="E17" t="s">
        <v>42</v>
      </c>
      <c r="F17" t="s">
        <v>9</v>
      </c>
    </row>
    <row r="18" spans="1:6" x14ac:dyDescent="0.25">
      <c r="A18" s="2">
        <v>45355</v>
      </c>
      <c r="B18" t="s">
        <v>43</v>
      </c>
      <c r="C18" t="s">
        <v>10</v>
      </c>
      <c r="D18" t="s">
        <v>7</v>
      </c>
      <c r="E18" t="s">
        <v>44</v>
      </c>
      <c r="F18" t="s">
        <v>9</v>
      </c>
    </row>
    <row r="19" spans="1:6" x14ac:dyDescent="0.25">
      <c r="A19" s="2">
        <v>45355</v>
      </c>
      <c r="B19" t="s">
        <v>45</v>
      </c>
      <c r="C19" t="s">
        <v>10</v>
      </c>
      <c r="D19" t="s">
        <v>7</v>
      </c>
      <c r="E19" t="s">
        <v>46</v>
      </c>
      <c r="F19" t="s">
        <v>9</v>
      </c>
    </row>
    <row r="20" spans="1:6" x14ac:dyDescent="0.25">
      <c r="A20" s="2">
        <v>45359</v>
      </c>
      <c r="B20" t="s">
        <v>47</v>
      </c>
      <c r="C20" t="s">
        <v>10</v>
      </c>
      <c r="D20" t="s">
        <v>7</v>
      </c>
      <c r="E20" t="s">
        <v>49</v>
      </c>
      <c r="F20" t="s">
        <v>9</v>
      </c>
    </row>
    <row r="21" spans="1:6" x14ac:dyDescent="0.25">
      <c r="A21" s="2">
        <v>45359</v>
      </c>
      <c r="B21" t="s">
        <v>48</v>
      </c>
      <c r="C21" t="s">
        <v>10</v>
      </c>
      <c r="D21" t="s">
        <v>7</v>
      </c>
      <c r="E21" t="s">
        <v>50</v>
      </c>
      <c r="F21" t="s">
        <v>9</v>
      </c>
    </row>
    <row r="22" spans="1:6" x14ac:dyDescent="0.25">
      <c r="A22" s="2">
        <v>45359</v>
      </c>
      <c r="B22" t="s">
        <v>51</v>
      </c>
      <c r="C22" t="s">
        <v>10</v>
      </c>
      <c r="D22" t="s">
        <v>7</v>
      </c>
      <c r="E22" t="s">
        <v>52</v>
      </c>
      <c r="F22" t="s">
        <v>9</v>
      </c>
    </row>
    <row r="23" spans="1:6" x14ac:dyDescent="0.25">
      <c r="A23" s="2">
        <v>45362</v>
      </c>
      <c r="B23" t="s">
        <v>53</v>
      </c>
      <c r="C23" t="s">
        <v>10</v>
      </c>
      <c r="D23" t="s">
        <v>7</v>
      </c>
      <c r="E23" t="s">
        <v>54</v>
      </c>
      <c r="F23" t="s">
        <v>9</v>
      </c>
    </row>
    <row r="24" spans="1:6" x14ac:dyDescent="0.25">
      <c r="A24" s="2">
        <v>45362</v>
      </c>
      <c r="B24" t="s">
        <v>55</v>
      </c>
      <c r="C24" t="s">
        <v>10</v>
      </c>
      <c r="D24" t="s">
        <v>7</v>
      </c>
      <c r="E24" t="s">
        <v>56</v>
      </c>
      <c r="F24" t="s">
        <v>9</v>
      </c>
    </row>
    <row r="25" spans="1:6" x14ac:dyDescent="0.25">
      <c r="A25" s="2">
        <v>45362</v>
      </c>
      <c r="B25" t="s">
        <v>57</v>
      </c>
      <c r="C25" t="s">
        <v>10</v>
      </c>
      <c r="D25" t="s">
        <v>7</v>
      </c>
      <c r="E25" t="s">
        <v>16</v>
      </c>
      <c r="F25" t="s">
        <v>9</v>
      </c>
    </row>
    <row r="26" spans="1:6" x14ac:dyDescent="0.25">
      <c r="A26" s="2">
        <v>45362</v>
      </c>
      <c r="B26" t="s">
        <v>58</v>
      </c>
      <c r="C26" t="s">
        <v>10</v>
      </c>
      <c r="D26" t="s">
        <v>7</v>
      </c>
      <c r="E26" t="s">
        <v>16</v>
      </c>
      <c r="F26" t="s">
        <v>9</v>
      </c>
    </row>
    <row r="27" spans="1:6" x14ac:dyDescent="0.25">
      <c r="A27" s="2">
        <v>45363</v>
      </c>
      <c r="B27" t="s">
        <v>59</v>
      </c>
      <c r="C27" t="s">
        <v>10</v>
      </c>
      <c r="D27" t="s">
        <v>7</v>
      </c>
      <c r="E27" t="s">
        <v>60</v>
      </c>
      <c r="F27" t="s">
        <v>9</v>
      </c>
    </row>
    <row r="28" spans="1:6" x14ac:dyDescent="0.25">
      <c r="A28" s="2">
        <v>45363</v>
      </c>
      <c r="B28" t="s">
        <v>61</v>
      </c>
      <c r="C28" t="s">
        <v>10</v>
      </c>
      <c r="D28" t="s">
        <v>7</v>
      </c>
      <c r="E28" t="s">
        <v>32</v>
      </c>
      <c r="F28" t="s">
        <v>9</v>
      </c>
    </row>
    <row r="29" spans="1:6" x14ac:dyDescent="0.25">
      <c r="A29" s="2">
        <v>45363</v>
      </c>
      <c r="B29" t="s">
        <v>62</v>
      </c>
      <c r="C29" t="s">
        <v>10</v>
      </c>
      <c r="D29" t="s">
        <v>7</v>
      </c>
      <c r="E29" t="s">
        <v>30</v>
      </c>
      <c r="F29" t="s">
        <v>9</v>
      </c>
    </row>
    <row r="30" spans="1:6" x14ac:dyDescent="0.25">
      <c r="A30" s="2">
        <v>45363</v>
      </c>
      <c r="B30" t="s">
        <v>63</v>
      </c>
      <c r="C30" t="s">
        <v>65</v>
      </c>
      <c r="D30" t="s">
        <v>7</v>
      </c>
      <c r="E30" t="s">
        <v>60</v>
      </c>
      <c r="F30" t="s">
        <v>9</v>
      </c>
    </row>
    <row r="31" spans="1:6" x14ac:dyDescent="0.25">
      <c r="A31" s="2">
        <v>45363</v>
      </c>
      <c r="B31" t="s">
        <v>64</v>
      </c>
      <c r="C31" t="s">
        <v>10</v>
      </c>
      <c r="D31" t="s">
        <v>7</v>
      </c>
      <c r="E31" t="s">
        <v>66</v>
      </c>
      <c r="F31" t="s">
        <v>9</v>
      </c>
    </row>
    <row r="32" spans="1:6" x14ac:dyDescent="0.25">
      <c r="A32" s="2">
        <v>45363</v>
      </c>
      <c r="B32" t="s">
        <v>67</v>
      </c>
      <c r="C32" t="s">
        <v>10</v>
      </c>
      <c r="D32" t="s">
        <v>7</v>
      </c>
      <c r="E32" t="s">
        <v>71</v>
      </c>
      <c r="F32" t="s">
        <v>9</v>
      </c>
    </row>
    <row r="33" spans="1:6" x14ac:dyDescent="0.25">
      <c r="A33" s="2">
        <v>45363</v>
      </c>
      <c r="B33" t="s">
        <v>68</v>
      </c>
      <c r="C33" t="s">
        <v>10</v>
      </c>
      <c r="D33" t="s">
        <v>7</v>
      </c>
      <c r="E33" t="s">
        <v>54</v>
      </c>
      <c r="F33" t="s">
        <v>9</v>
      </c>
    </row>
    <row r="34" spans="1:6" x14ac:dyDescent="0.25">
      <c r="A34" s="2">
        <v>45364</v>
      </c>
      <c r="B34" t="s">
        <v>69</v>
      </c>
      <c r="C34" t="s">
        <v>10</v>
      </c>
      <c r="D34" t="s">
        <v>7</v>
      </c>
      <c r="E34" t="s">
        <v>54</v>
      </c>
      <c r="F34" t="s">
        <v>9</v>
      </c>
    </row>
    <row r="35" spans="1:6" x14ac:dyDescent="0.25">
      <c r="A35" s="2">
        <v>45364</v>
      </c>
      <c r="B35" t="s">
        <v>70</v>
      </c>
      <c r="C35" t="s">
        <v>10</v>
      </c>
      <c r="D35" t="s">
        <v>7</v>
      </c>
      <c r="E35" t="s">
        <v>32</v>
      </c>
      <c r="F35" t="s">
        <v>9</v>
      </c>
    </row>
    <row r="36" spans="1:6" x14ac:dyDescent="0.25">
      <c r="A36" s="2">
        <v>45364</v>
      </c>
      <c r="B36" t="s">
        <v>69</v>
      </c>
      <c r="C36" t="s">
        <v>10</v>
      </c>
      <c r="D36" t="s">
        <v>85</v>
      </c>
      <c r="E36" t="s">
        <v>86</v>
      </c>
      <c r="F36" t="s">
        <v>99</v>
      </c>
    </row>
    <row r="37" spans="1:6" x14ac:dyDescent="0.25">
      <c r="A37" s="2">
        <v>45364</v>
      </c>
      <c r="B37" t="s">
        <v>69</v>
      </c>
      <c r="C37" t="s">
        <v>90</v>
      </c>
      <c r="D37" t="s">
        <v>88</v>
      </c>
      <c r="E37" t="s">
        <v>89</v>
      </c>
      <c r="F37" t="s">
        <v>99</v>
      </c>
    </row>
    <row r="38" spans="1:6" x14ac:dyDescent="0.25">
      <c r="A38" s="2">
        <v>45365</v>
      </c>
      <c r="B38" t="s">
        <v>69</v>
      </c>
      <c r="C38" t="s">
        <v>90</v>
      </c>
      <c r="D38" t="s">
        <v>88</v>
      </c>
      <c r="E38" t="s">
        <v>91</v>
      </c>
      <c r="F38" t="s">
        <v>90</v>
      </c>
    </row>
    <row r="39" spans="1:6" x14ac:dyDescent="0.25">
      <c r="A39" s="2">
        <v>45365</v>
      </c>
      <c r="B39" t="s">
        <v>92</v>
      </c>
      <c r="C39" t="s">
        <v>10</v>
      </c>
      <c r="D39" t="s">
        <v>7</v>
      </c>
      <c r="E39" t="s">
        <v>93</v>
      </c>
      <c r="F39" t="s">
        <v>9</v>
      </c>
    </row>
    <row r="40" spans="1:6" x14ac:dyDescent="0.25">
      <c r="A40" s="2">
        <v>45366</v>
      </c>
      <c r="B40" t="s">
        <v>94</v>
      </c>
      <c r="C40" t="s">
        <v>10</v>
      </c>
      <c r="D40" t="s">
        <v>7</v>
      </c>
      <c r="E40" t="s">
        <v>97</v>
      </c>
      <c r="F40" t="s">
        <v>9</v>
      </c>
    </row>
    <row r="41" spans="1:6" x14ac:dyDescent="0.25">
      <c r="A41" s="2">
        <v>45366</v>
      </c>
      <c r="B41" t="s">
        <v>95</v>
      </c>
      <c r="C41" t="s">
        <v>10</v>
      </c>
      <c r="D41" t="s">
        <v>7</v>
      </c>
      <c r="E41" t="s">
        <v>32</v>
      </c>
      <c r="F41" t="s">
        <v>9</v>
      </c>
    </row>
    <row r="42" spans="1:6" x14ac:dyDescent="0.25">
      <c r="A42" s="2">
        <v>45367</v>
      </c>
      <c r="B42" t="s">
        <v>96</v>
      </c>
      <c r="C42" t="s">
        <v>10</v>
      </c>
      <c r="D42" t="s">
        <v>7</v>
      </c>
      <c r="E42" t="s">
        <v>98</v>
      </c>
      <c r="F42" t="s">
        <v>9</v>
      </c>
    </row>
    <row r="43" spans="1:6" x14ac:dyDescent="0.25">
      <c r="A43" s="2">
        <v>45369</v>
      </c>
      <c r="B43" t="s">
        <v>69</v>
      </c>
      <c r="C43" t="s">
        <v>84</v>
      </c>
      <c r="D43" t="s">
        <v>85</v>
      </c>
      <c r="E43" t="s">
        <v>83</v>
      </c>
      <c r="F43" t="s">
        <v>99</v>
      </c>
    </row>
    <row r="44" spans="1:6" x14ac:dyDescent="0.25">
      <c r="A44" s="2">
        <v>45369</v>
      </c>
      <c r="B44" t="s">
        <v>100</v>
      </c>
      <c r="C44" t="s">
        <v>10</v>
      </c>
      <c r="D44" t="s">
        <v>7</v>
      </c>
      <c r="E44" t="s">
        <v>101</v>
      </c>
      <c r="F44" t="s">
        <v>9</v>
      </c>
    </row>
    <row r="45" spans="1:6" x14ac:dyDescent="0.25">
      <c r="A45" s="2">
        <v>45369</v>
      </c>
      <c r="B45" t="s">
        <v>102</v>
      </c>
      <c r="C45" t="s">
        <v>10</v>
      </c>
      <c r="D45" t="s">
        <v>7</v>
      </c>
      <c r="E45" t="s">
        <v>103</v>
      </c>
      <c r="F45" t="s">
        <v>9</v>
      </c>
    </row>
    <row r="46" spans="1:6" x14ac:dyDescent="0.25">
      <c r="A46" s="2">
        <v>45369</v>
      </c>
      <c r="B46" t="s">
        <v>106</v>
      </c>
      <c r="C46" t="s">
        <v>10</v>
      </c>
      <c r="D46" t="s">
        <v>7</v>
      </c>
      <c r="E46" t="s">
        <v>54</v>
      </c>
      <c r="F46" t="s">
        <v>9</v>
      </c>
    </row>
    <row r="47" spans="1:6" x14ac:dyDescent="0.25">
      <c r="A47" s="2">
        <v>45371</v>
      </c>
      <c r="B47" t="s">
        <v>107</v>
      </c>
      <c r="C47" t="s">
        <v>10</v>
      </c>
      <c r="D47" t="s">
        <v>108</v>
      </c>
      <c r="E47" t="s">
        <v>54</v>
      </c>
      <c r="F47" t="s">
        <v>109</v>
      </c>
    </row>
    <row r="48" spans="1:6" x14ac:dyDescent="0.25">
      <c r="A48" s="2">
        <v>45372</v>
      </c>
      <c r="B48" t="s">
        <v>110</v>
      </c>
      <c r="C48" t="s">
        <v>111</v>
      </c>
      <c r="D48" t="s">
        <v>112</v>
      </c>
      <c r="E48" t="s">
        <v>122</v>
      </c>
      <c r="F48" t="s">
        <v>114</v>
      </c>
    </row>
    <row r="49" spans="1:6" x14ac:dyDescent="0.25">
      <c r="A49" s="2">
        <v>45372</v>
      </c>
      <c r="B49" t="s">
        <v>110</v>
      </c>
      <c r="C49" t="s">
        <v>115</v>
      </c>
      <c r="D49" t="s">
        <v>116</v>
      </c>
      <c r="E49" t="s">
        <v>123</v>
      </c>
      <c r="F49" t="s">
        <v>117</v>
      </c>
    </row>
    <row r="50" spans="1:6" x14ac:dyDescent="0.25">
      <c r="A50" s="2">
        <v>45373</v>
      </c>
      <c r="B50" t="s">
        <v>118</v>
      </c>
      <c r="C50" t="s">
        <v>10</v>
      </c>
      <c r="D50" t="s">
        <v>119</v>
      </c>
      <c r="E50" t="s">
        <v>120</v>
      </c>
      <c r="F50" t="s">
        <v>9</v>
      </c>
    </row>
    <row r="51" spans="1:6" x14ac:dyDescent="0.25">
      <c r="A51" s="2">
        <v>45373</v>
      </c>
      <c r="B51" t="s">
        <v>121</v>
      </c>
      <c r="C51" t="s">
        <v>111</v>
      </c>
      <c r="D51" t="s">
        <v>7</v>
      </c>
      <c r="E51" t="s">
        <v>113</v>
      </c>
      <c r="F51" t="s">
        <v>9</v>
      </c>
    </row>
    <row r="52" spans="1:6" x14ac:dyDescent="0.25">
      <c r="A52" s="2">
        <v>45373</v>
      </c>
      <c r="B52" t="s">
        <v>110</v>
      </c>
      <c r="C52" t="s">
        <v>90</v>
      </c>
      <c r="E52" t="s">
        <v>54</v>
      </c>
      <c r="F52" t="s">
        <v>90</v>
      </c>
    </row>
    <row r="53" spans="1:6" x14ac:dyDescent="0.25">
      <c r="A53" s="2">
        <v>45376</v>
      </c>
      <c r="B53" t="s">
        <v>96</v>
      </c>
      <c r="C53" t="s">
        <v>115</v>
      </c>
      <c r="D53" t="s">
        <v>124</v>
      </c>
      <c r="E53" t="s">
        <v>125</v>
      </c>
      <c r="F53" t="s">
        <v>126</v>
      </c>
    </row>
    <row r="54" spans="1:6" x14ac:dyDescent="0.25">
      <c r="A54" s="2">
        <v>45376</v>
      </c>
      <c r="B54" t="s">
        <v>127</v>
      </c>
      <c r="C54" t="s">
        <v>128</v>
      </c>
      <c r="D54" t="s">
        <v>129</v>
      </c>
    </row>
    <row r="55" spans="1:6" x14ac:dyDescent="0.25">
      <c r="A55" s="2">
        <v>45376</v>
      </c>
      <c r="B55" t="s">
        <v>130</v>
      </c>
      <c r="C55" t="s">
        <v>10</v>
      </c>
      <c r="D55" t="s">
        <v>7</v>
      </c>
      <c r="E55" t="s">
        <v>32</v>
      </c>
      <c r="F55" t="s">
        <v>9</v>
      </c>
    </row>
    <row r="56" spans="1:6" x14ac:dyDescent="0.25">
      <c r="A56" s="2">
        <v>45376</v>
      </c>
      <c r="B56" t="s">
        <v>131</v>
      </c>
      <c r="C56" t="s">
        <v>10</v>
      </c>
      <c r="D56" t="s">
        <v>7</v>
      </c>
      <c r="E56" t="s">
        <v>132</v>
      </c>
      <c r="F56" t="s">
        <v>9</v>
      </c>
    </row>
    <row r="57" spans="1:6" x14ac:dyDescent="0.25">
      <c r="A57" s="2">
        <v>45376</v>
      </c>
      <c r="B57" t="s">
        <v>133</v>
      </c>
      <c r="C57" t="s">
        <v>10</v>
      </c>
      <c r="D57" t="s">
        <v>7</v>
      </c>
      <c r="E57" t="s">
        <v>134</v>
      </c>
      <c r="F57" t="s">
        <v>9</v>
      </c>
    </row>
    <row r="58" spans="1:6" x14ac:dyDescent="0.25">
      <c r="A58" s="2">
        <v>45377</v>
      </c>
      <c r="B58" t="s">
        <v>135</v>
      </c>
      <c r="C58" t="s">
        <v>10</v>
      </c>
      <c r="D58" s="3" t="s">
        <v>136</v>
      </c>
      <c r="E58" t="s">
        <v>137</v>
      </c>
      <c r="F58" t="s">
        <v>138</v>
      </c>
    </row>
    <row r="59" spans="1:6" x14ac:dyDescent="0.25">
      <c r="A59" s="2">
        <v>45377</v>
      </c>
      <c r="B59" t="s">
        <v>139</v>
      </c>
      <c r="C59" t="s">
        <v>111</v>
      </c>
      <c r="D59" s="3" t="s">
        <v>140</v>
      </c>
      <c r="E59" t="s">
        <v>141</v>
      </c>
      <c r="F59" t="s">
        <v>138</v>
      </c>
    </row>
    <row r="60" spans="1:6" x14ac:dyDescent="0.25">
      <c r="A60" s="2">
        <v>45378</v>
      </c>
      <c r="B60" t="s">
        <v>148</v>
      </c>
      <c r="C60" t="s">
        <v>147</v>
      </c>
      <c r="D60" s="3" t="s">
        <v>149</v>
      </c>
      <c r="E60" t="s">
        <v>150</v>
      </c>
      <c r="F60" t="s">
        <v>151</v>
      </c>
    </row>
    <row r="61" spans="1:6" x14ac:dyDescent="0.25">
      <c r="A61" s="2">
        <v>45378</v>
      </c>
      <c r="B61" t="s">
        <v>142</v>
      </c>
      <c r="C61" t="s">
        <v>10</v>
      </c>
      <c r="D61" t="s">
        <v>7</v>
      </c>
      <c r="E61" t="s">
        <v>54</v>
      </c>
      <c r="F61" t="s">
        <v>9</v>
      </c>
    </row>
    <row r="62" spans="1:6" x14ac:dyDescent="0.25">
      <c r="A62" s="2">
        <v>45378</v>
      </c>
      <c r="B62" t="s">
        <v>143</v>
      </c>
      <c r="C62" t="s">
        <v>10</v>
      </c>
      <c r="D62" t="s">
        <v>7</v>
      </c>
      <c r="E62" t="s">
        <v>152</v>
      </c>
      <c r="F62" t="s">
        <v>9</v>
      </c>
    </row>
    <row r="63" spans="1:6" x14ac:dyDescent="0.25">
      <c r="A63" s="2">
        <v>45378</v>
      </c>
      <c r="B63" t="s">
        <v>144</v>
      </c>
      <c r="C63" t="s">
        <v>10</v>
      </c>
      <c r="D63" t="s">
        <v>7</v>
      </c>
      <c r="E63" t="s">
        <v>113</v>
      </c>
      <c r="F63" t="s">
        <v>9</v>
      </c>
    </row>
    <row r="64" spans="1:6" x14ac:dyDescent="0.25">
      <c r="A64" s="2">
        <v>45378</v>
      </c>
      <c r="B64" t="s">
        <v>145</v>
      </c>
      <c r="C64" t="s">
        <v>10</v>
      </c>
      <c r="D64" t="s">
        <v>7</v>
      </c>
      <c r="E64" t="s">
        <v>32</v>
      </c>
      <c r="F64" t="s">
        <v>9</v>
      </c>
    </row>
    <row r="65" spans="1:6" x14ac:dyDescent="0.25">
      <c r="A65" s="2">
        <v>45379</v>
      </c>
      <c r="B65" t="s">
        <v>146</v>
      </c>
      <c r="C65" t="s">
        <v>10</v>
      </c>
      <c r="D65" t="s">
        <v>7</v>
      </c>
      <c r="E65" t="s">
        <v>153</v>
      </c>
      <c r="F65" t="s">
        <v>9</v>
      </c>
    </row>
    <row r="66" spans="1:6" x14ac:dyDescent="0.25">
      <c r="A66" s="2">
        <v>45379</v>
      </c>
      <c r="B66" t="s">
        <v>154</v>
      </c>
      <c r="C66" t="s">
        <v>10</v>
      </c>
      <c r="D66" t="s">
        <v>7</v>
      </c>
      <c r="E66" t="s">
        <v>153</v>
      </c>
      <c r="F66" t="s">
        <v>9</v>
      </c>
    </row>
    <row r="67" spans="1:6" x14ac:dyDescent="0.25">
      <c r="A67" s="2">
        <v>45379</v>
      </c>
      <c r="B67" t="s">
        <v>155</v>
      </c>
      <c r="C67" t="s">
        <v>10</v>
      </c>
      <c r="D67" t="s">
        <v>7</v>
      </c>
      <c r="E67" t="s">
        <v>153</v>
      </c>
      <c r="F67" t="s">
        <v>9</v>
      </c>
    </row>
    <row r="68" spans="1:6" x14ac:dyDescent="0.25">
      <c r="A68" s="2">
        <v>45379</v>
      </c>
      <c r="B68" t="s">
        <v>156</v>
      </c>
      <c r="C68" t="s">
        <v>111</v>
      </c>
      <c r="D68" t="s">
        <v>7</v>
      </c>
      <c r="E68" t="s">
        <v>54</v>
      </c>
      <c r="F68" t="s">
        <v>9</v>
      </c>
    </row>
    <row r="69" spans="1:6" x14ac:dyDescent="0.25">
      <c r="A69" s="2">
        <v>45380</v>
      </c>
      <c r="B69" t="s">
        <v>345</v>
      </c>
      <c r="C69" t="s">
        <v>346</v>
      </c>
      <c r="D69" t="s">
        <v>347</v>
      </c>
      <c r="E69" t="s">
        <v>348</v>
      </c>
      <c r="F69" t="s">
        <v>348</v>
      </c>
    </row>
    <row r="70" spans="1:6" x14ac:dyDescent="0.25">
      <c r="A70" s="2">
        <v>45381</v>
      </c>
      <c r="B70" t="s">
        <v>349</v>
      </c>
      <c r="C70" t="s">
        <v>10</v>
      </c>
      <c r="D70" t="s">
        <v>7</v>
      </c>
      <c r="E70" t="s">
        <v>351</v>
      </c>
      <c r="F70" t="s">
        <v>9</v>
      </c>
    </row>
    <row r="71" spans="1:6" x14ac:dyDescent="0.25">
      <c r="A71" s="2">
        <v>45381</v>
      </c>
      <c r="B71" t="s">
        <v>55</v>
      </c>
      <c r="C71" t="s">
        <v>10</v>
      </c>
      <c r="D71" t="s">
        <v>7</v>
      </c>
      <c r="E71" t="s">
        <v>153</v>
      </c>
      <c r="F71" t="s">
        <v>9</v>
      </c>
    </row>
    <row r="72" spans="1:6" x14ac:dyDescent="0.25">
      <c r="A72" s="2">
        <v>45382</v>
      </c>
      <c r="B72" t="s">
        <v>350</v>
      </c>
      <c r="C72" t="s">
        <v>10</v>
      </c>
      <c r="D72" t="s">
        <v>7</v>
      </c>
      <c r="E72" t="s">
        <v>352</v>
      </c>
      <c r="F72" t="s">
        <v>9</v>
      </c>
    </row>
    <row r="73" spans="1:6" x14ac:dyDescent="0.25">
      <c r="A73" s="2">
        <v>45383</v>
      </c>
      <c r="B73" t="s">
        <v>353</v>
      </c>
      <c r="C73" t="s">
        <v>10</v>
      </c>
      <c r="D73" t="s">
        <v>7</v>
      </c>
      <c r="E73" t="s">
        <v>358</v>
      </c>
      <c r="F73" t="s">
        <v>9</v>
      </c>
    </row>
    <row r="74" spans="1:6" x14ac:dyDescent="0.25">
      <c r="A74" s="2">
        <v>45383</v>
      </c>
      <c r="B74" t="s">
        <v>354</v>
      </c>
      <c r="C74" t="s">
        <v>10</v>
      </c>
      <c r="D74" t="s">
        <v>7</v>
      </c>
      <c r="E74" t="s">
        <v>93</v>
      </c>
      <c r="F74" t="s">
        <v>9</v>
      </c>
    </row>
    <row r="75" spans="1:6" x14ac:dyDescent="0.25">
      <c r="A75" s="2">
        <v>45383</v>
      </c>
      <c r="B75" t="s">
        <v>48</v>
      </c>
      <c r="C75" t="s">
        <v>10</v>
      </c>
      <c r="D75" t="s">
        <v>7</v>
      </c>
      <c r="E75" t="s">
        <v>153</v>
      </c>
      <c r="F75" t="s">
        <v>9</v>
      </c>
    </row>
    <row r="76" spans="1:6" x14ac:dyDescent="0.25">
      <c r="A76" s="2">
        <v>45383</v>
      </c>
      <c r="B76" t="s">
        <v>355</v>
      </c>
      <c r="C76" t="s">
        <v>10</v>
      </c>
      <c r="D76" t="s">
        <v>7</v>
      </c>
      <c r="E76" t="s">
        <v>359</v>
      </c>
      <c r="F76" t="s">
        <v>9</v>
      </c>
    </row>
    <row r="77" spans="1:6" x14ac:dyDescent="0.25">
      <c r="A77" s="2">
        <v>45383</v>
      </c>
      <c r="B77" t="s">
        <v>356</v>
      </c>
      <c r="C77" t="s">
        <v>10</v>
      </c>
      <c r="D77" t="s">
        <v>7</v>
      </c>
      <c r="E77" t="s">
        <v>360</v>
      </c>
      <c r="F77" t="s">
        <v>9</v>
      </c>
    </row>
    <row r="78" spans="1:6" x14ac:dyDescent="0.25">
      <c r="A78" s="2">
        <v>45383</v>
      </c>
      <c r="B78" t="s">
        <v>357</v>
      </c>
      <c r="C78" t="s">
        <v>10</v>
      </c>
      <c r="D78" t="s">
        <v>7</v>
      </c>
      <c r="E78" t="s">
        <v>54</v>
      </c>
      <c r="F78" t="s">
        <v>9</v>
      </c>
    </row>
    <row r="79" spans="1:6" x14ac:dyDescent="0.25">
      <c r="A79" s="2">
        <v>45384</v>
      </c>
      <c r="B79" t="s">
        <v>361</v>
      </c>
      <c r="C79" t="s">
        <v>344</v>
      </c>
      <c r="D79" t="s">
        <v>362</v>
      </c>
      <c r="F79" t="s">
        <v>380</v>
      </c>
    </row>
    <row r="80" spans="1:6" x14ac:dyDescent="0.25">
      <c r="A80" s="2">
        <v>45384</v>
      </c>
      <c r="B80" t="s">
        <v>96</v>
      </c>
      <c r="C80" t="s">
        <v>90</v>
      </c>
      <c r="D80" t="s">
        <v>363</v>
      </c>
      <c r="E80" t="s">
        <v>364</v>
      </c>
      <c r="F80" t="s">
        <v>344</v>
      </c>
    </row>
    <row r="81" spans="1:6" x14ac:dyDescent="0.25">
      <c r="A81" s="2">
        <v>45385</v>
      </c>
      <c r="B81" t="s">
        <v>366</v>
      </c>
      <c r="C81" t="s">
        <v>10</v>
      </c>
      <c r="D81" t="s">
        <v>7</v>
      </c>
      <c r="E81" t="s">
        <v>365</v>
      </c>
      <c r="F81" t="s">
        <v>9</v>
      </c>
    </row>
    <row r="82" spans="1:6" x14ac:dyDescent="0.25">
      <c r="A82" s="2">
        <v>45385</v>
      </c>
      <c r="B82" t="s">
        <v>372</v>
      </c>
      <c r="C82" t="s">
        <v>10</v>
      </c>
      <c r="D82" t="s">
        <v>7</v>
      </c>
      <c r="E82" t="s">
        <v>373</v>
      </c>
      <c r="F82" t="s">
        <v>9</v>
      </c>
    </row>
    <row r="83" spans="1:6" x14ac:dyDescent="0.25">
      <c r="A83" s="2">
        <v>45385</v>
      </c>
      <c r="B83" t="s">
        <v>374</v>
      </c>
      <c r="C83" t="s">
        <v>10</v>
      </c>
      <c r="D83" t="s">
        <v>7</v>
      </c>
      <c r="E83" t="s">
        <v>375</v>
      </c>
      <c r="F83" t="s">
        <v>9</v>
      </c>
    </row>
    <row r="84" spans="1:6" x14ac:dyDescent="0.25">
      <c r="A84" s="2">
        <v>45386</v>
      </c>
      <c r="B84" t="s">
        <v>377</v>
      </c>
      <c r="C84" t="s">
        <v>10</v>
      </c>
      <c r="D84" s="3" t="s">
        <v>376</v>
      </c>
      <c r="E84" t="s">
        <v>378</v>
      </c>
      <c r="F84" t="s">
        <v>379</v>
      </c>
    </row>
  </sheetData>
  <hyperlinks>
    <hyperlink ref="D12" r:id="rId1" xr:uid="{ED1B1234-62B5-4FBF-8C32-6755C582F018}"/>
    <hyperlink ref="D15" r:id="rId2" xr:uid="{45A73DB4-5D98-4786-A912-B360D3738C8D}"/>
    <hyperlink ref="D58" r:id="rId3" xr:uid="{B31D86FE-6AA1-4FB4-989D-9784A178305C}"/>
    <hyperlink ref="D59" r:id="rId4" xr:uid="{DCF9920C-CB08-4DC0-9ACF-0995029EAB32}"/>
    <hyperlink ref="D84" r:id="rId5" xr:uid="{8B5A62B6-CA48-49FE-BF81-34C060775531}"/>
  </hyperlinks>
  <pageMargins left="0.7" right="0.7" top="0.75" bottom="0.75" header="0.3" footer="0.3"/>
  <pageSetup scale="73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51E9-7FC9-4461-9E7F-4A870C3FEF3E}">
  <dimension ref="A1:E63"/>
  <sheetViews>
    <sheetView topLeftCell="A34" workbookViewId="0">
      <selection activeCell="E64" sqref="E64"/>
    </sheetView>
  </sheetViews>
  <sheetFormatPr defaultRowHeight="15" x14ac:dyDescent="0.25"/>
  <cols>
    <col min="1" max="1" width="20.5703125" customWidth="1"/>
    <col min="2" max="2" width="25" customWidth="1"/>
    <col min="3" max="3" width="26.42578125" customWidth="1"/>
    <col min="5" max="5" width="21.28515625" customWidth="1"/>
  </cols>
  <sheetData>
    <row r="1" spans="1:5" x14ac:dyDescent="0.25">
      <c r="A1" s="4" t="s">
        <v>157</v>
      </c>
      <c r="B1" s="4" t="s">
        <v>158</v>
      </c>
      <c r="C1" s="4" t="s">
        <v>159</v>
      </c>
      <c r="D1" s="4" t="s">
        <v>176</v>
      </c>
      <c r="E1" s="4" t="s">
        <v>237</v>
      </c>
    </row>
    <row r="2" spans="1:5" x14ac:dyDescent="0.25">
      <c r="A2" t="s">
        <v>160</v>
      </c>
      <c r="B2" t="s">
        <v>161</v>
      </c>
      <c r="C2">
        <v>25</v>
      </c>
      <c r="D2">
        <v>2024</v>
      </c>
      <c r="E2">
        <v>1</v>
      </c>
    </row>
    <row r="3" spans="1:5" x14ac:dyDescent="0.25">
      <c r="A3" t="s">
        <v>160</v>
      </c>
      <c r="B3" t="s">
        <v>162</v>
      </c>
      <c r="C3">
        <v>29</v>
      </c>
      <c r="D3">
        <v>2024</v>
      </c>
      <c r="E3">
        <v>1</v>
      </c>
    </row>
    <row r="4" spans="1:5" x14ac:dyDescent="0.25">
      <c r="A4" t="s">
        <v>160</v>
      </c>
      <c r="B4" t="s">
        <v>163</v>
      </c>
      <c r="C4">
        <v>5</v>
      </c>
      <c r="D4">
        <v>2024</v>
      </c>
      <c r="E4">
        <v>1</v>
      </c>
    </row>
    <row r="5" spans="1:5" x14ac:dyDescent="0.25">
      <c r="A5" t="s">
        <v>160</v>
      </c>
      <c r="B5" t="s">
        <v>164</v>
      </c>
      <c r="C5">
        <v>15</v>
      </c>
      <c r="D5">
        <v>2022</v>
      </c>
      <c r="E5">
        <v>1</v>
      </c>
    </row>
    <row r="6" spans="1:5" x14ac:dyDescent="0.25">
      <c r="A6" t="s">
        <v>165</v>
      </c>
      <c r="B6" t="s">
        <v>166</v>
      </c>
      <c r="C6">
        <v>28</v>
      </c>
      <c r="D6">
        <v>2024</v>
      </c>
      <c r="E6">
        <v>3</v>
      </c>
    </row>
    <row r="7" spans="1:5" x14ac:dyDescent="0.25">
      <c r="A7" t="s">
        <v>165</v>
      </c>
      <c r="B7" t="s">
        <v>167</v>
      </c>
      <c r="C7">
        <v>3</v>
      </c>
      <c r="D7">
        <v>2024</v>
      </c>
      <c r="E7">
        <v>4</v>
      </c>
    </row>
    <row r="8" spans="1:5" x14ac:dyDescent="0.25">
      <c r="A8" t="s">
        <v>165</v>
      </c>
      <c r="B8" t="s">
        <v>168</v>
      </c>
      <c r="C8">
        <v>5</v>
      </c>
      <c r="D8">
        <v>2019</v>
      </c>
      <c r="E8">
        <v>3</v>
      </c>
    </row>
    <row r="9" spans="1:5" x14ac:dyDescent="0.25">
      <c r="A9" t="s">
        <v>165</v>
      </c>
      <c r="B9" t="s">
        <v>169</v>
      </c>
      <c r="C9">
        <v>8</v>
      </c>
      <c r="D9">
        <v>2018</v>
      </c>
      <c r="E9">
        <v>3</v>
      </c>
    </row>
    <row r="10" spans="1:5" x14ac:dyDescent="0.25">
      <c r="A10" t="s">
        <v>165</v>
      </c>
      <c r="B10" t="s">
        <v>170</v>
      </c>
      <c r="C10">
        <v>9</v>
      </c>
      <c r="D10">
        <v>2021</v>
      </c>
      <c r="E10">
        <v>3</v>
      </c>
    </row>
    <row r="11" spans="1:5" x14ac:dyDescent="0.25">
      <c r="A11" t="s">
        <v>165</v>
      </c>
      <c r="B11" t="s">
        <v>171</v>
      </c>
      <c r="C11">
        <v>3</v>
      </c>
      <c r="D11">
        <v>2022</v>
      </c>
      <c r="E11">
        <v>2</v>
      </c>
    </row>
    <row r="12" spans="1:5" x14ac:dyDescent="0.25">
      <c r="A12" t="s">
        <v>165</v>
      </c>
      <c r="B12" t="s">
        <v>172</v>
      </c>
      <c r="C12">
        <v>2</v>
      </c>
      <c r="D12">
        <v>2022</v>
      </c>
      <c r="E12">
        <v>2</v>
      </c>
    </row>
    <row r="13" spans="1:5" x14ac:dyDescent="0.25">
      <c r="A13" t="s">
        <v>165</v>
      </c>
      <c r="B13" t="s">
        <v>173</v>
      </c>
      <c r="C13">
        <v>4</v>
      </c>
      <c r="D13">
        <v>2023</v>
      </c>
      <c r="E13">
        <v>2</v>
      </c>
    </row>
    <row r="14" spans="1:5" x14ac:dyDescent="0.25">
      <c r="A14" t="s">
        <v>165</v>
      </c>
      <c r="B14" t="s">
        <v>174</v>
      </c>
      <c r="C14">
        <v>15</v>
      </c>
      <c r="D14">
        <v>2023</v>
      </c>
      <c r="E14">
        <v>3</v>
      </c>
    </row>
    <row r="15" spans="1:5" x14ac:dyDescent="0.25">
      <c r="A15" t="s">
        <v>177</v>
      </c>
      <c r="B15" t="s">
        <v>175</v>
      </c>
      <c r="C15">
        <v>9</v>
      </c>
      <c r="D15">
        <v>2018</v>
      </c>
      <c r="E15">
        <v>2</v>
      </c>
    </row>
    <row r="16" spans="1:5" x14ac:dyDescent="0.25">
      <c r="A16" t="s">
        <v>177</v>
      </c>
      <c r="B16" t="s">
        <v>178</v>
      </c>
      <c r="C16">
        <v>5</v>
      </c>
      <c r="D16">
        <v>2018</v>
      </c>
      <c r="E16">
        <v>2</v>
      </c>
    </row>
    <row r="17" spans="1:5" x14ac:dyDescent="0.25">
      <c r="A17" t="s">
        <v>177</v>
      </c>
      <c r="B17" t="s">
        <v>179</v>
      </c>
      <c r="C17">
        <v>11</v>
      </c>
      <c r="D17">
        <v>2018</v>
      </c>
      <c r="E17">
        <v>2</v>
      </c>
    </row>
    <row r="18" spans="1:5" x14ac:dyDescent="0.25">
      <c r="A18" t="s">
        <v>177</v>
      </c>
      <c r="B18" t="s">
        <v>180</v>
      </c>
      <c r="C18">
        <v>2</v>
      </c>
      <c r="D18">
        <v>2023</v>
      </c>
      <c r="E18">
        <v>2</v>
      </c>
    </row>
    <row r="19" spans="1:5" x14ac:dyDescent="0.25">
      <c r="A19" t="s">
        <v>177</v>
      </c>
      <c r="B19" t="s">
        <v>181</v>
      </c>
      <c r="C19">
        <v>3</v>
      </c>
      <c r="D19">
        <v>2024</v>
      </c>
      <c r="E19">
        <v>2</v>
      </c>
    </row>
    <row r="20" spans="1:5" x14ac:dyDescent="0.25">
      <c r="A20" t="s">
        <v>177</v>
      </c>
      <c r="B20" t="s">
        <v>182</v>
      </c>
      <c r="C20">
        <v>7</v>
      </c>
      <c r="D20">
        <v>2024</v>
      </c>
      <c r="E20">
        <v>5</v>
      </c>
    </row>
    <row r="21" spans="1:5" x14ac:dyDescent="0.25">
      <c r="A21" t="s">
        <v>177</v>
      </c>
      <c r="B21" t="s">
        <v>183</v>
      </c>
      <c r="C21">
        <v>25</v>
      </c>
      <c r="D21">
        <v>2024</v>
      </c>
      <c r="E21">
        <v>5</v>
      </c>
    </row>
    <row r="22" spans="1:5" x14ac:dyDescent="0.25">
      <c r="A22" t="s">
        <v>177</v>
      </c>
      <c r="B22" t="s">
        <v>184</v>
      </c>
      <c r="C22">
        <v>5</v>
      </c>
      <c r="D22">
        <v>2009</v>
      </c>
      <c r="E22">
        <v>2</v>
      </c>
    </row>
    <row r="23" spans="1:5" x14ac:dyDescent="0.25">
      <c r="A23" t="s">
        <v>177</v>
      </c>
      <c r="B23" t="s">
        <v>185</v>
      </c>
      <c r="C23">
        <v>17</v>
      </c>
      <c r="D23">
        <v>2024</v>
      </c>
      <c r="E23">
        <v>2</v>
      </c>
    </row>
    <row r="24" spans="1:5" x14ac:dyDescent="0.25">
      <c r="A24" t="s">
        <v>177</v>
      </c>
      <c r="B24" t="s">
        <v>186</v>
      </c>
      <c r="C24">
        <v>5</v>
      </c>
      <c r="D24">
        <v>2018</v>
      </c>
      <c r="E24">
        <v>2</v>
      </c>
    </row>
    <row r="25" spans="1:5" x14ac:dyDescent="0.25">
      <c r="A25" t="s">
        <v>177</v>
      </c>
      <c r="B25" t="s">
        <v>187</v>
      </c>
      <c r="C25">
        <v>8</v>
      </c>
      <c r="D25">
        <v>2024</v>
      </c>
      <c r="E25">
        <v>2</v>
      </c>
    </row>
    <row r="26" spans="1:5" x14ac:dyDescent="0.25">
      <c r="A26" t="s">
        <v>177</v>
      </c>
      <c r="B26" t="s">
        <v>188</v>
      </c>
      <c r="C26">
        <v>20</v>
      </c>
      <c r="D26">
        <v>2022</v>
      </c>
      <c r="E26">
        <v>2</v>
      </c>
    </row>
    <row r="27" spans="1:5" x14ac:dyDescent="0.25">
      <c r="A27" t="s">
        <v>177</v>
      </c>
      <c r="B27" t="s">
        <v>189</v>
      </c>
      <c r="C27">
        <v>15</v>
      </c>
      <c r="D27">
        <v>2021</v>
      </c>
      <c r="E27">
        <v>2</v>
      </c>
    </row>
    <row r="28" spans="1:5" x14ac:dyDescent="0.25">
      <c r="A28" t="s">
        <v>177</v>
      </c>
      <c r="B28" t="s">
        <v>190</v>
      </c>
      <c r="C28">
        <v>5</v>
      </c>
      <c r="D28">
        <v>2018</v>
      </c>
      <c r="E28">
        <v>2</v>
      </c>
    </row>
    <row r="29" spans="1:5" x14ac:dyDescent="0.25">
      <c r="A29" t="s">
        <v>177</v>
      </c>
      <c r="B29" t="s">
        <v>191</v>
      </c>
      <c r="C29">
        <v>5</v>
      </c>
      <c r="D29">
        <v>2018</v>
      </c>
      <c r="E29">
        <v>2</v>
      </c>
    </row>
    <row r="30" spans="1:5" x14ac:dyDescent="0.25">
      <c r="A30" t="s">
        <v>177</v>
      </c>
      <c r="B30" t="s">
        <v>192</v>
      </c>
      <c r="C30">
        <v>10</v>
      </c>
      <c r="D30">
        <v>2001</v>
      </c>
      <c r="E30">
        <v>1</v>
      </c>
    </row>
    <row r="31" spans="1:5" x14ac:dyDescent="0.25">
      <c r="A31" t="s">
        <v>193</v>
      </c>
      <c r="B31" t="s">
        <v>194</v>
      </c>
      <c r="C31">
        <v>20</v>
      </c>
      <c r="D31">
        <v>2022</v>
      </c>
      <c r="E31">
        <v>1</v>
      </c>
    </row>
    <row r="32" spans="1:5" x14ac:dyDescent="0.25">
      <c r="A32" t="s">
        <v>193</v>
      </c>
      <c r="B32" t="s">
        <v>195</v>
      </c>
      <c r="C32">
        <v>20</v>
      </c>
      <c r="D32">
        <v>2023</v>
      </c>
      <c r="E32">
        <v>1</v>
      </c>
    </row>
    <row r="33" spans="1:5" x14ac:dyDescent="0.25">
      <c r="A33" t="s">
        <v>193</v>
      </c>
      <c r="B33" t="s">
        <v>196</v>
      </c>
      <c r="C33">
        <v>24</v>
      </c>
      <c r="D33">
        <v>2024</v>
      </c>
      <c r="E33">
        <v>1</v>
      </c>
    </row>
    <row r="34" spans="1:5" x14ac:dyDescent="0.25">
      <c r="A34" t="s">
        <v>193</v>
      </c>
      <c r="B34" t="s">
        <v>197</v>
      </c>
      <c r="C34">
        <v>15</v>
      </c>
      <c r="D34">
        <v>2024</v>
      </c>
      <c r="E34">
        <v>1</v>
      </c>
    </row>
    <row r="35" spans="1:5" x14ac:dyDescent="0.25">
      <c r="A35" t="s">
        <v>193</v>
      </c>
      <c r="B35" t="s">
        <v>198</v>
      </c>
      <c r="C35">
        <v>15</v>
      </c>
      <c r="D35">
        <v>2024</v>
      </c>
      <c r="E35">
        <v>1</v>
      </c>
    </row>
    <row r="36" spans="1:5" x14ac:dyDescent="0.25">
      <c r="A36" t="s">
        <v>193</v>
      </c>
      <c r="B36" t="s">
        <v>199</v>
      </c>
      <c r="C36">
        <v>20</v>
      </c>
      <c r="D36">
        <v>2022</v>
      </c>
      <c r="E36">
        <v>1</v>
      </c>
    </row>
    <row r="37" spans="1:5" x14ac:dyDescent="0.25">
      <c r="A37" t="s">
        <v>193</v>
      </c>
      <c r="B37" t="s">
        <v>200</v>
      </c>
      <c r="C37">
        <v>5</v>
      </c>
      <c r="D37">
        <v>2023</v>
      </c>
      <c r="E37">
        <v>1</v>
      </c>
    </row>
    <row r="38" spans="1:5" x14ac:dyDescent="0.25">
      <c r="A38" t="s">
        <v>201</v>
      </c>
      <c r="B38" t="s">
        <v>202</v>
      </c>
      <c r="C38">
        <v>15</v>
      </c>
      <c r="D38">
        <v>2024</v>
      </c>
      <c r="E38">
        <v>3</v>
      </c>
    </row>
    <row r="39" spans="1:5" x14ac:dyDescent="0.25">
      <c r="A39" t="s">
        <v>201</v>
      </c>
      <c r="B39" t="s">
        <v>203</v>
      </c>
      <c r="C39">
        <v>28</v>
      </c>
      <c r="D39">
        <v>2023</v>
      </c>
      <c r="E39">
        <v>3</v>
      </c>
    </row>
    <row r="40" spans="1:5" x14ac:dyDescent="0.25">
      <c r="A40" t="s">
        <v>201</v>
      </c>
      <c r="B40" t="s">
        <v>204</v>
      </c>
      <c r="C40">
        <v>28</v>
      </c>
      <c r="D40">
        <v>2024</v>
      </c>
      <c r="E40">
        <v>3</v>
      </c>
    </row>
    <row r="41" spans="1:5" x14ac:dyDescent="0.25">
      <c r="A41" t="s">
        <v>201</v>
      </c>
      <c r="B41" t="s">
        <v>206</v>
      </c>
      <c r="C41">
        <v>20</v>
      </c>
      <c r="D41">
        <v>2023</v>
      </c>
      <c r="E41">
        <v>3</v>
      </c>
    </row>
    <row r="42" spans="1:5" x14ac:dyDescent="0.25">
      <c r="A42" t="s">
        <v>201</v>
      </c>
      <c r="B42" t="s">
        <v>205</v>
      </c>
      <c r="C42">
        <v>20</v>
      </c>
      <c r="D42">
        <v>2024</v>
      </c>
      <c r="E42">
        <v>3</v>
      </c>
    </row>
    <row r="43" spans="1:5" x14ac:dyDescent="0.25">
      <c r="A43" t="s">
        <v>201</v>
      </c>
      <c r="B43" t="s">
        <v>207</v>
      </c>
      <c r="C43">
        <v>20</v>
      </c>
      <c r="D43">
        <v>2024</v>
      </c>
      <c r="E43">
        <v>3</v>
      </c>
    </row>
    <row r="44" spans="1:5" x14ac:dyDescent="0.25">
      <c r="A44" t="s">
        <v>208</v>
      </c>
      <c r="B44" t="s">
        <v>209</v>
      </c>
      <c r="C44">
        <v>10</v>
      </c>
      <c r="D44">
        <v>2018</v>
      </c>
      <c r="E44">
        <v>1</v>
      </c>
    </row>
    <row r="45" spans="1:5" x14ac:dyDescent="0.25">
      <c r="A45" t="s">
        <v>208</v>
      </c>
      <c r="B45" t="s">
        <v>210</v>
      </c>
      <c r="C45">
        <v>25</v>
      </c>
      <c r="D45">
        <v>2016</v>
      </c>
      <c r="E45">
        <v>1</v>
      </c>
    </row>
    <row r="46" spans="1:5" x14ac:dyDescent="0.25">
      <c r="A46" t="s">
        <v>208</v>
      </c>
      <c r="B46" t="s">
        <v>211</v>
      </c>
      <c r="C46">
        <v>15</v>
      </c>
      <c r="D46">
        <v>2018</v>
      </c>
      <c r="E46">
        <v>1</v>
      </c>
    </row>
    <row r="47" spans="1:5" x14ac:dyDescent="0.25">
      <c r="A47" t="s">
        <v>208</v>
      </c>
      <c r="B47" t="s">
        <v>212</v>
      </c>
      <c r="C47">
        <v>7</v>
      </c>
      <c r="D47">
        <v>2024</v>
      </c>
      <c r="E47">
        <v>1</v>
      </c>
    </row>
    <row r="48" spans="1:5" x14ac:dyDescent="0.25">
      <c r="A48" t="s">
        <v>208</v>
      </c>
      <c r="B48" t="s">
        <v>213</v>
      </c>
      <c r="C48">
        <v>15</v>
      </c>
      <c r="D48">
        <v>2023</v>
      </c>
      <c r="E48">
        <v>5</v>
      </c>
    </row>
    <row r="49" spans="1:5" x14ac:dyDescent="0.25">
      <c r="A49" t="s">
        <v>208</v>
      </c>
      <c r="B49" t="s">
        <v>214</v>
      </c>
      <c r="C49">
        <v>7</v>
      </c>
      <c r="D49">
        <v>2023</v>
      </c>
      <c r="E49">
        <v>5</v>
      </c>
    </row>
    <row r="50" spans="1:5" x14ac:dyDescent="0.25">
      <c r="A50" t="s">
        <v>208</v>
      </c>
      <c r="B50" t="s">
        <v>215</v>
      </c>
      <c r="C50">
        <v>2</v>
      </c>
      <c r="D50">
        <v>2023</v>
      </c>
      <c r="E50">
        <v>5</v>
      </c>
    </row>
    <row r="51" spans="1:5" x14ac:dyDescent="0.25">
      <c r="A51" t="s">
        <v>216</v>
      </c>
      <c r="B51" t="s">
        <v>217</v>
      </c>
      <c r="C51">
        <v>7</v>
      </c>
      <c r="D51">
        <v>2023</v>
      </c>
      <c r="E51">
        <v>1</v>
      </c>
    </row>
    <row r="52" spans="1:5" x14ac:dyDescent="0.25">
      <c r="A52" t="s">
        <v>216</v>
      </c>
      <c r="B52" t="s">
        <v>218</v>
      </c>
      <c r="C52">
        <v>15</v>
      </c>
      <c r="D52">
        <v>2024</v>
      </c>
      <c r="E52">
        <v>1</v>
      </c>
    </row>
    <row r="53" spans="1:5" x14ac:dyDescent="0.25">
      <c r="A53" t="s">
        <v>216</v>
      </c>
      <c r="B53" t="s">
        <v>219</v>
      </c>
      <c r="C53">
        <v>3</v>
      </c>
      <c r="D53">
        <v>2018</v>
      </c>
      <c r="E53">
        <v>1</v>
      </c>
    </row>
    <row r="54" spans="1:5" x14ac:dyDescent="0.25">
      <c r="A54" t="s">
        <v>216</v>
      </c>
      <c r="B54" t="s">
        <v>220</v>
      </c>
      <c r="C54">
        <v>15</v>
      </c>
      <c r="D54">
        <v>2022</v>
      </c>
      <c r="E54">
        <v>1</v>
      </c>
    </row>
    <row r="55" spans="1:5" x14ac:dyDescent="0.25">
      <c r="A55" t="s">
        <v>216</v>
      </c>
      <c r="B55" t="s">
        <v>221</v>
      </c>
      <c r="C55">
        <v>15</v>
      </c>
      <c r="D55">
        <v>2022</v>
      </c>
      <c r="E55">
        <v>1</v>
      </c>
    </row>
    <row r="56" spans="1:5" x14ac:dyDescent="0.25">
      <c r="A56" t="s">
        <v>216</v>
      </c>
      <c r="B56" t="s">
        <v>222</v>
      </c>
      <c r="C56">
        <v>18</v>
      </c>
      <c r="D56">
        <v>2021</v>
      </c>
      <c r="E56">
        <v>1</v>
      </c>
    </row>
    <row r="57" spans="1:5" x14ac:dyDescent="0.25">
      <c r="A57" t="s">
        <v>216</v>
      </c>
      <c r="B57" t="s">
        <v>223</v>
      </c>
      <c r="C57">
        <v>8</v>
      </c>
      <c r="D57">
        <v>2021</v>
      </c>
      <c r="E57">
        <v>1</v>
      </c>
    </row>
    <row r="58" spans="1:5" x14ac:dyDescent="0.25">
      <c r="A58" t="s">
        <v>216</v>
      </c>
      <c r="B58" t="s">
        <v>224</v>
      </c>
      <c r="C58">
        <v>16</v>
      </c>
      <c r="D58">
        <v>2024</v>
      </c>
      <c r="E58">
        <v>1</v>
      </c>
    </row>
    <row r="59" spans="1:5" x14ac:dyDescent="0.25">
      <c r="A59" t="s">
        <v>225</v>
      </c>
      <c r="B59" t="s">
        <v>226</v>
      </c>
      <c r="C59">
        <v>28</v>
      </c>
      <c r="D59">
        <v>2024</v>
      </c>
      <c r="E59">
        <v>5</v>
      </c>
    </row>
    <row r="60" spans="1:5" x14ac:dyDescent="0.25">
      <c r="A60" t="s">
        <v>225</v>
      </c>
      <c r="B60" t="s">
        <v>227</v>
      </c>
      <c r="C60">
        <v>28</v>
      </c>
      <c r="D60">
        <v>2024</v>
      </c>
      <c r="E60">
        <v>5</v>
      </c>
    </row>
    <row r="61" spans="1:5" x14ac:dyDescent="0.25">
      <c r="A61" t="s">
        <v>225</v>
      </c>
      <c r="B61" t="s">
        <v>228</v>
      </c>
      <c r="C61">
        <v>28</v>
      </c>
      <c r="D61">
        <v>2024</v>
      </c>
      <c r="E61">
        <v>5</v>
      </c>
    </row>
    <row r="62" spans="1:5" x14ac:dyDescent="0.25">
      <c r="A62" t="s">
        <v>225</v>
      </c>
      <c r="B62" t="s">
        <v>229</v>
      </c>
      <c r="C62">
        <v>16</v>
      </c>
      <c r="D62">
        <v>2007</v>
      </c>
      <c r="E62">
        <v>5</v>
      </c>
    </row>
    <row r="63" spans="1:5" x14ac:dyDescent="0.25">
      <c r="A63" t="s">
        <v>225</v>
      </c>
      <c r="B63" t="s">
        <v>212</v>
      </c>
      <c r="C63">
        <v>7</v>
      </c>
      <c r="D63">
        <v>2024</v>
      </c>
      <c r="E6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CED3-6869-404F-8741-B640544E3438}">
  <dimension ref="A1:G34"/>
  <sheetViews>
    <sheetView workbookViewId="0">
      <selection activeCell="G14" sqref="G14"/>
    </sheetView>
  </sheetViews>
  <sheetFormatPr defaultRowHeight="15" x14ac:dyDescent="0.25"/>
  <cols>
    <col min="2" max="2" width="17.5703125" customWidth="1"/>
    <col min="3" max="3" width="20.7109375" customWidth="1"/>
    <col min="4" max="4" width="43" customWidth="1"/>
    <col min="5" max="5" width="40" customWidth="1"/>
    <col min="6" max="6" width="23.85546875" customWidth="1"/>
    <col min="7" max="7" width="19" customWidth="1"/>
  </cols>
  <sheetData>
    <row r="1" spans="1:7" s="4" customFormat="1" x14ac:dyDescent="0.25">
      <c r="A1" s="4" t="s">
        <v>231</v>
      </c>
      <c r="B1" s="4" t="s">
        <v>238</v>
      </c>
      <c r="C1" s="4" t="s">
        <v>239</v>
      </c>
      <c r="D1" s="4" t="s">
        <v>240</v>
      </c>
      <c r="E1" s="4" t="s">
        <v>241</v>
      </c>
      <c r="F1" s="4" t="s">
        <v>290</v>
      </c>
      <c r="G1" s="4" t="s">
        <v>293</v>
      </c>
    </row>
    <row r="2" spans="1:7" x14ac:dyDescent="0.25">
      <c r="A2">
        <v>1</v>
      </c>
      <c r="B2" s="5">
        <v>45170</v>
      </c>
      <c r="C2" s="5">
        <v>45352</v>
      </c>
      <c r="D2" t="s">
        <v>242</v>
      </c>
      <c r="E2" t="s">
        <v>243</v>
      </c>
      <c r="F2" t="s">
        <v>291</v>
      </c>
      <c r="G2" t="s">
        <v>294</v>
      </c>
    </row>
    <row r="3" spans="1:7" x14ac:dyDescent="0.25">
      <c r="A3">
        <v>2</v>
      </c>
      <c r="B3" s="5">
        <v>42614</v>
      </c>
      <c r="C3" s="5">
        <v>45139</v>
      </c>
      <c r="D3" t="s">
        <v>244</v>
      </c>
      <c r="E3" t="s">
        <v>245</v>
      </c>
      <c r="F3" t="s">
        <v>291</v>
      </c>
      <c r="G3" t="s">
        <v>294</v>
      </c>
    </row>
    <row r="4" spans="1:7" x14ac:dyDescent="0.25">
      <c r="A4">
        <v>3</v>
      </c>
      <c r="B4" s="5">
        <v>42430</v>
      </c>
      <c r="C4" s="5">
        <v>42583</v>
      </c>
      <c r="D4" t="s">
        <v>246</v>
      </c>
      <c r="E4" t="s">
        <v>247</v>
      </c>
      <c r="F4" t="s">
        <v>292</v>
      </c>
      <c r="G4" t="s">
        <v>296</v>
      </c>
    </row>
    <row r="5" spans="1:7" x14ac:dyDescent="0.25">
      <c r="A5">
        <v>4</v>
      </c>
      <c r="B5" s="5">
        <v>42064</v>
      </c>
      <c r="C5" s="5">
        <v>42278</v>
      </c>
      <c r="D5" t="s">
        <v>248</v>
      </c>
      <c r="E5" t="s">
        <v>249</v>
      </c>
      <c r="F5" t="s">
        <v>297</v>
      </c>
      <c r="G5" t="s">
        <v>298</v>
      </c>
    </row>
    <row r="6" spans="1:7" x14ac:dyDescent="0.25">
      <c r="A6">
        <v>5</v>
      </c>
      <c r="B6" s="5">
        <v>41821</v>
      </c>
      <c r="C6" s="5">
        <v>42064</v>
      </c>
      <c r="D6" t="s">
        <v>244</v>
      </c>
      <c r="E6" t="s">
        <v>270</v>
      </c>
      <c r="F6" t="s">
        <v>291</v>
      </c>
      <c r="G6" t="s">
        <v>294</v>
      </c>
    </row>
    <row r="7" spans="1:7" x14ac:dyDescent="0.25">
      <c r="A7">
        <v>6</v>
      </c>
      <c r="B7" s="5">
        <v>41548</v>
      </c>
      <c r="C7" s="5">
        <v>41821</v>
      </c>
      <c r="D7" t="s">
        <v>271</v>
      </c>
      <c r="E7" t="s">
        <v>272</v>
      </c>
      <c r="F7" t="s">
        <v>291</v>
      </c>
      <c r="G7" t="s">
        <v>294</v>
      </c>
    </row>
    <row r="8" spans="1:7" x14ac:dyDescent="0.25">
      <c r="A8">
        <v>7</v>
      </c>
      <c r="B8" s="5">
        <v>41275</v>
      </c>
      <c r="C8" s="5">
        <v>41487</v>
      </c>
      <c r="D8" t="s">
        <v>273</v>
      </c>
      <c r="E8" t="s">
        <v>299</v>
      </c>
      <c r="F8" t="s">
        <v>291</v>
      </c>
      <c r="G8" t="s">
        <v>294</v>
      </c>
    </row>
    <row r="9" spans="1:7" x14ac:dyDescent="0.25">
      <c r="A9">
        <v>8</v>
      </c>
      <c r="B9" s="5">
        <v>40452</v>
      </c>
      <c r="C9" s="5">
        <v>41244</v>
      </c>
      <c r="D9" t="s">
        <v>274</v>
      </c>
      <c r="E9" t="s">
        <v>275</v>
      </c>
      <c r="F9" t="s">
        <v>292</v>
      </c>
      <c r="G9" t="s">
        <v>300</v>
      </c>
    </row>
    <row r="10" spans="1:7" x14ac:dyDescent="0.25">
      <c r="A10">
        <v>9</v>
      </c>
      <c r="B10" s="5">
        <v>37165</v>
      </c>
      <c r="C10" s="5">
        <v>40787</v>
      </c>
      <c r="D10" t="s">
        <v>276</v>
      </c>
      <c r="E10" t="s">
        <v>277</v>
      </c>
      <c r="F10" t="s">
        <v>297</v>
      </c>
      <c r="G10" t="s">
        <v>301</v>
      </c>
    </row>
    <row r="11" spans="1:7" x14ac:dyDescent="0.25">
      <c r="A11">
        <v>10</v>
      </c>
      <c r="B11" s="5">
        <v>39630</v>
      </c>
      <c r="C11" s="5">
        <v>40391</v>
      </c>
      <c r="D11" t="s">
        <v>278</v>
      </c>
      <c r="E11" t="s">
        <v>279</v>
      </c>
      <c r="F11" t="s">
        <v>297</v>
      </c>
      <c r="G11" t="s">
        <v>294</v>
      </c>
    </row>
    <row r="12" spans="1:7" x14ac:dyDescent="0.25">
      <c r="A12">
        <v>11</v>
      </c>
      <c r="B12" s="5">
        <v>38869</v>
      </c>
      <c r="C12" s="5">
        <v>39539</v>
      </c>
      <c r="D12" t="s">
        <v>280</v>
      </c>
      <c r="E12" t="s">
        <v>281</v>
      </c>
      <c r="F12" t="s">
        <v>302</v>
      </c>
      <c r="G12" t="s">
        <v>281</v>
      </c>
    </row>
    <row r="13" spans="1:7" x14ac:dyDescent="0.25">
      <c r="A13">
        <v>12</v>
      </c>
      <c r="B13" s="5">
        <v>37956</v>
      </c>
      <c r="C13" s="5">
        <v>38504</v>
      </c>
      <c r="D13" t="s">
        <v>282</v>
      </c>
      <c r="E13" t="s">
        <v>283</v>
      </c>
      <c r="F13" t="s">
        <v>302</v>
      </c>
      <c r="G13" t="s">
        <v>281</v>
      </c>
    </row>
    <row r="14" spans="1:7" x14ac:dyDescent="0.25">
      <c r="A14">
        <v>13</v>
      </c>
      <c r="B14" s="5">
        <v>37347</v>
      </c>
      <c r="C14" s="5">
        <v>37956</v>
      </c>
      <c r="D14" t="s">
        <v>276</v>
      </c>
      <c r="E14" t="s">
        <v>284</v>
      </c>
      <c r="F14" t="s">
        <v>297</v>
      </c>
      <c r="G14" t="s">
        <v>307</v>
      </c>
    </row>
    <row r="15" spans="1:7" x14ac:dyDescent="0.25">
      <c r="A15">
        <v>14</v>
      </c>
      <c r="B15" s="5">
        <v>36373</v>
      </c>
      <c r="C15" s="5">
        <v>37165</v>
      </c>
      <c r="D15" t="s">
        <v>285</v>
      </c>
      <c r="E15" t="s">
        <v>286</v>
      </c>
      <c r="F15" t="s">
        <v>303</v>
      </c>
      <c r="G15" t="s">
        <v>295</v>
      </c>
    </row>
    <row r="16" spans="1:7" x14ac:dyDescent="0.25">
      <c r="A16">
        <v>15</v>
      </c>
      <c r="B16" s="5">
        <v>36192</v>
      </c>
      <c r="C16" s="5">
        <v>36404</v>
      </c>
      <c r="D16" t="s">
        <v>248</v>
      </c>
      <c r="E16" t="s">
        <v>287</v>
      </c>
      <c r="F16" t="s">
        <v>297</v>
      </c>
      <c r="G16" t="s">
        <v>306</v>
      </c>
    </row>
    <row r="17" spans="1:7" x14ac:dyDescent="0.25">
      <c r="A17">
        <v>16</v>
      </c>
      <c r="B17" s="5">
        <v>35674</v>
      </c>
      <c r="C17" s="5">
        <v>36192</v>
      </c>
      <c r="D17" t="s">
        <v>273</v>
      </c>
      <c r="E17" t="s">
        <v>288</v>
      </c>
      <c r="F17" t="s">
        <v>297</v>
      </c>
      <c r="G17" t="s">
        <v>305</v>
      </c>
    </row>
    <row r="18" spans="1:7" x14ac:dyDescent="0.25">
      <c r="A18">
        <f>A17+1</f>
        <v>17</v>
      </c>
      <c r="B18" s="5">
        <v>34881</v>
      </c>
      <c r="C18" s="5">
        <v>35612</v>
      </c>
      <c r="D18" t="s">
        <v>285</v>
      </c>
      <c r="E18" t="s">
        <v>289</v>
      </c>
      <c r="F18" t="s">
        <v>302</v>
      </c>
      <c r="G18" t="s">
        <v>304</v>
      </c>
    </row>
    <row r="19" spans="1:7" x14ac:dyDescent="0.25">
      <c r="B19" s="5"/>
      <c r="C19" s="5"/>
    </row>
    <row r="20" spans="1:7" x14ac:dyDescent="0.25">
      <c r="B20" s="5"/>
      <c r="C20" s="5"/>
    </row>
    <row r="21" spans="1:7" x14ac:dyDescent="0.25">
      <c r="B21" s="5"/>
      <c r="C21" s="5"/>
    </row>
    <row r="22" spans="1:7" x14ac:dyDescent="0.25">
      <c r="B22" s="5"/>
      <c r="C22" s="5"/>
    </row>
    <row r="23" spans="1:7" x14ac:dyDescent="0.25">
      <c r="B23" s="5"/>
      <c r="C23" s="5"/>
    </row>
    <row r="24" spans="1:7" x14ac:dyDescent="0.25">
      <c r="B24" s="5"/>
      <c r="C24" s="5"/>
    </row>
    <row r="25" spans="1:7" x14ac:dyDescent="0.25">
      <c r="B25" s="5"/>
      <c r="C25" s="5"/>
    </row>
    <row r="26" spans="1:7" x14ac:dyDescent="0.25">
      <c r="B26" s="5"/>
      <c r="C26" s="5"/>
    </row>
    <row r="27" spans="1:7" x14ac:dyDescent="0.25">
      <c r="B27" s="5"/>
      <c r="C27" s="5"/>
    </row>
    <row r="28" spans="1:7" x14ac:dyDescent="0.25">
      <c r="B28" s="5"/>
      <c r="C28" s="5"/>
    </row>
    <row r="29" spans="1:7" x14ac:dyDescent="0.25">
      <c r="B29" s="5"/>
      <c r="C29" s="5"/>
    </row>
    <row r="30" spans="1:7" x14ac:dyDescent="0.25">
      <c r="B30" s="5"/>
      <c r="C30" s="5"/>
    </row>
    <row r="31" spans="1:7" x14ac:dyDescent="0.25">
      <c r="B31" s="5"/>
      <c r="C31" s="5"/>
    </row>
    <row r="32" spans="1:7" x14ac:dyDescent="0.25">
      <c r="B32" s="5"/>
      <c r="C32" s="5"/>
    </row>
    <row r="33" spans="2:3" x14ac:dyDescent="0.25">
      <c r="B33" s="5"/>
      <c r="C33" s="5"/>
    </row>
    <row r="34" spans="2:3" x14ac:dyDescent="0.25">
      <c r="B34" s="5"/>
      <c r="C3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0503-0286-49D3-A7EA-6A900269EE97}">
  <dimension ref="A1:C53"/>
  <sheetViews>
    <sheetView workbookViewId="0">
      <selection activeCell="C51" sqref="C51:C53"/>
    </sheetView>
  </sheetViews>
  <sheetFormatPr defaultRowHeight="15" x14ac:dyDescent="0.25"/>
  <cols>
    <col min="3" max="3" width="132.28515625" customWidth="1"/>
  </cols>
  <sheetData>
    <row r="1" spans="1:3" x14ac:dyDescent="0.25">
      <c r="A1" t="s">
        <v>231</v>
      </c>
      <c r="B1" t="s">
        <v>250</v>
      </c>
      <c r="C1" t="s">
        <v>251</v>
      </c>
    </row>
    <row r="2" spans="1:3" x14ac:dyDescent="0.25">
      <c r="A2">
        <v>1</v>
      </c>
      <c r="B2">
        <v>1</v>
      </c>
      <c r="C2" s="6" t="s">
        <v>252</v>
      </c>
    </row>
    <row r="3" spans="1:3" x14ac:dyDescent="0.25">
      <c r="A3">
        <v>2</v>
      </c>
      <c r="B3">
        <v>1</v>
      </c>
      <c r="C3" s="7" t="s">
        <v>253</v>
      </c>
    </row>
    <row r="4" spans="1:3" x14ac:dyDescent="0.25">
      <c r="A4">
        <v>3</v>
      </c>
      <c r="B4">
        <v>1</v>
      </c>
      <c r="C4" s="8" t="s">
        <v>257</v>
      </c>
    </row>
    <row r="5" spans="1:3" x14ac:dyDescent="0.25">
      <c r="A5">
        <v>4</v>
      </c>
      <c r="B5">
        <v>1</v>
      </c>
      <c r="C5" s="7" t="s">
        <v>254</v>
      </c>
    </row>
    <row r="6" spans="1:3" x14ac:dyDescent="0.25">
      <c r="A6">
        <v>5</v>
      </c>
      <c r="B6">
        <v>2</v>
      </c>
      <c r="C6" s="6" t="s">
        <v>255</v>
      </c>
    </row>
    <row r="7" spans="1:3" x14ac:dyDescent="0.25">
      <c r="A7">
        <f>A6+1</f>
        <v>6</v>
      </c>
      <c r="B7">
        <v>2</v>
      </c>
      <c r="C7" s="6" t="s">
        <v>256</v>
      </c>
    </row>
    <row r="8" spans="1:3" x14ac:dyDescent="0.25">
      <c r="A8">
        <f t="shared" ref="A8:A53" si="0">A7+1</f>
        <v>7</v>
      </c>
      <c r="B8">
        <v>2</v>
      </c>
      <c r="C8" t="s">
        <v>258</v>
      </c>
    </row>
    <row r="9" spans="1:3" x14ac:dyDescent="0.25">
      <c r="A9">
        <f t="shared" si="0"/>
        <v>8</v>
      </c>
      <c r="B9">
        <v>2</v>
      </c>
      <c r="C9" t="s">
        <v>259</v>
      </c>
    </row>
    <row r="10" spans="1:3" x14ac:dyDescent="0.25">
      <c r="A10">
        <f t="shared" si="0"/>
        <v>9</v>
      </c>
      <c r="B10">
        <v>2</v>
      </c>
      <c r="C10" t="s">
        <v>260</v>
      </c>
    </row>
    <row r="11" spans="1:3" x14ac:dyDescent="0.25">
      <c r="A11">
        <f t="shared" si="0"/>
        <v>10</v>
      </c>
      <c r="B11">
        <v>2</v>
      </c>
      <c r="C11" t="s">
        <v>261</v>
      </c>
    </row>
    <row r="12" spans="1:3" x14ac:dyDescent="0.25">
      <c r="A12">
        <f t="shared" si="0"/>
        <v>11</v>
      </c>
      <c r="B12">
        <v>2</v>
      </c>
      <c r="C12" t="s">
        <v>262</v>
      </c>
    </row>
    <row r="13" spans="1:3" x14ac:dyDescent="0.25">
      <c r="A13">
        <f t="shared" si="0"/>
        <v>12</v>
      </c>
      <c r="B13">
        <v>2</v>
      </c>
      <c r="C13" t="s">
        <v>263</v>
      </c>
    </row>
    <row r="14" spans="1:3" ht="45" x14ac:dyDescent="0.25">
      <c r="A14">
        <f t="shared" si="0"/>
        <v>13</v>
      </c>
      <c r="B14">
        <v>2</v>
      </c>
      <c r="C14" s="9" t="s">
        <v>265</v>
      </c>
    </row>
    <row r="15" spans="1:3" x14ac:dyDescent="0.25">
      <c r="A15">
        <f t="shared" si="0"/>
        <v>14</v>
      </c>
      <c r="B15">
        <v>2</v>
      </c>
      <c r="C15" t="s">
        <v>264</v>
      </c>
    </row>
    <row r="16" spans="1:3" x14ac:dyDescent="0.25">
      <c r="A16">
        <f t="shared" si="0"/>
        <v>15</v>
      </c>
      <c r="B16">
        <v>3</v>
      </c>
      <c r="C16" t="s">
        <v>266</v>
      </c>
    </row>
    <row r="17" spans="1:3" x14ac:dyDescent="0.25">
      <c r="A17">
        <f t="shared" si="0"/>
        <v>16</v>
      </c>
      <c r="B17">
        <v>4</v>
      </c>
      <c r="C17" t="s">
        <v>267</v>
      </c>
    </row>
    <row r="18" spans="1:3" x14ac:dyDescent="0.25">
      <c r="A18">
        <f t="shared" si="0"/>
        <v>17</v>
      </c>
      <c r="B18">
        <v>4</v>
      </c>
      <c r="C18" t="s">
        <v>268</v>
      </c>
    </row>
    <row r="19" spans="1:3" x14ac:dyDescent="0.25">
      <c r="A19">
        <f t="shared" si="0"/>
        <v>18</v>
      </c>
      <c r="B19">
        <v>4</v>
      </c>
      <c r="C19" t="s">
        <v>269</v>
      </c>
    </row>
    <row r="20" spans="1:3" x14ac:dyDescent="0.25">
      <c r="A20">
        <f t="shared" si="0"/>
        <v>19</v>
      </c>
      <c r="B20">
        <v>5</v>
      </c>
      <c r="C20" t="s">
        <v>308</v>
      </c>
    </row>
    <row r="21" spans="1:3" x14ac:dyDescent="0.25">
      <c r="A21">
        <f t="shared" si="0"/>
        <v>20</v>
      </c>
      <c r="B21">
        <v>5</v>
      </c>
      <c r="C21" t="s">
        <v>309</v>
      </c>
    </row>
    <row r="22" spans="1:3" x14ac:dyDescent="0.25">
      <c r="A22">
        <f t="shared" si="0"/>
        <v>21</v>
      </c>
      <c r="B22">
        <v>5</v>
      </c>
      <c r="C22" t="s">
        <v>310</v>
      </c>
    </row>
    <row r="23" spans="1:3" x14ac:dyDescent="0.25">
      <c r="A23">
        <f t="shared" si="0"/>
        <v>22</v>
      </c>
      <c r="B23">
        <v>6</v>
      </c>
      <c r="C23" t="s">
        <v>311</v>
      </c>
    </row>
    <row r="24" spans="1:3" x14ac:dyDescent="0.25">
      <c r="A24">
        <f t="shared" si="0"/>
        <v>23</v>
      </c>
      <c r="B24">
        <v>7</v>
      </c>
      <c r="C24" t="s">
        <v>312</v>
      </c>
    </row>
    <row r="25" spans="1:3" x14ac:dyDescent="0.25">
      <c r="A25">
        <f t="shared" si="0"/>
        <v>24</v>
      </c>
      <c r="B25">
        <v>7</v>
      </c>
      <c r="C25" t="s">
        <v>313</v>
      </c>
    </row>
    <row r="26" spans="1:3" x14ac:dyDescent="0.25">
      <c r="A26">
        <f t="shared" si="0"/>
        <v>25</v>
      </c>
      <c r="B26">
        <v>7</v>
      </c>
      <c r="C26" t="s">
        <v>314</v>
      </c>
    </row>
    <row r="27" spans="1:3" x14ac:dyDescent="0.25">
      <c r="A27">
        <f t="shared" si="0"/>
        <v>26</v>
      </c>
      <c r="B27">
        <v>8</v>
      </c>
      <c r="C27" t="s">
        <v>315</v>
      </c>
    </row>
    <row r="28" spans="1:3" x14ac:dyDescent="0.25">
      <c r="A28">
        <f t="shared" si="0"/>
        <v>27</v>
      </c>
      <c r="B28">
        <v>8</v>
      </c>
      <c r="C28" t="s">
        <v>316</v>
      </c>
    </row>
    <row r="29" spans="1:3" x14ac:dyDescent="0.25">
      <c r="A29">
        <f t="shared" si="0"/>
        <v>28</v>
      </c>
      <c r="B29">
        <v>8</v>
      </c>
      <c r="C29" t="s">
        <v>317</v>
      </c>
    </row>
    <row r="30" spans="1:3" x14ac:dyDescent="0.25">
      <c r="A30">
        <f t="shared" si="0"/>
        <v>29</v>
      </c>
      <c r="B30">
        <v>9</v>
      </c>
      <c r="C30" t="s">
        <v>319</v>
      </c>
    </row>
    <row r="31" spans="1:3" x14ac:dyDescent="0.25">
      <c r="A31">
        <f t="shared" si="0"/>
        <v>30</v>
      </c>
      <c r="B31">
        <v>9</v>
      </c>
      <c r="C31" t="s">
        <v>320</v>
      </c>
    </row>
    <row r="32" spans="1:3" x14ac:dyDescent="0.25">
      <c r="A32">
        <f t="shared" si="0"/>
        <v>31</v>
      </c>
      <c r="B32">
        <v>9</v>
      </c>
      <c r="C32" t="s">
        <v>318</v>
      </c>
    </row>
    <row r="33" spans="1:3" x14ac:dyDescent="0.25">
      <c r="A33">
        <f t="shared" si="0"/>
        <v>32</v>
      </c>
      <c r="B33">
        <v>10</v>
      </c>
      <c r="C33" t="s">
        <v>321</v>
      </c>
    </row>
    <row r="34" spans="1:3" x14ac:dyDescent="0.25">
      <c r="A34">
        <f t="shared" si="0"/>
        <v>33</v>
      </c>
      <c r="B34">
        <v>10</v>
      </c>
      <c r="C34" t="s">
        <v>322</v>
      </c>
    </row>
    <row r="35" spans="1:3" x14ac:dyDescent="0.25">
      <c r="A35">
        <f t="shared" si="0"/>
        <v>34</v>
      </c>
      <c r="B35">
        <v>10</v>
      </c>
      <c r="C35" t="s">
        <v>323</v>
      </c>
    </row>
    <row r="36" spans="1:3" x14ac:dyDescent="0.25">
      <c r="A36">
        <f t="shared" si="0"/>
        <v>35</v>
      </c>
      <c r="B36">
        <v>11</v>
      </c>
      <c r="C36" t="s">
        <v>324</v>
      </c>
    </row>
    <row r="37" spans="1:3" x14ac:dyDescent="0.25">
      <c r="A37">
        <f t="shared" si="0"/>
        <v>36</v>
      </c>
      <c r="B37">
        <v>11</v>
      </c>
      <c r="C37" t="s">
        <v>325</v>
      </c>
    </row>
    <row r="38" spans="1:3" x14ac:dyDescent="0.25">
      <c r="A38">
        <f t="shared" si="0"/>
        <v>37</v>
      </c>
      <c r="B38">
        <v>11</v>
      </c>
      <c r="C38" t="s">
        <v>326</v>
      </c>
    </row>
    <row r="39" spans="1:3" x14ac:dyDescent="0.25">
      <c r="A39">
        <f t="shared" si="0"/>
        <v>38</v>
      </c>
      <c r="B39">
        <v>12</v>
      </c>
      <c r="C39" t="s">
        <v>327</v>
      </c>
    </row>
    <row r="40" spans="1:3" x14ac:dyDescent="0.25">
      <c r="A40">
        <f t="shared" si="0"/>
        <v>39</v>
      </c>
      <c r="B40">
        <v>12</v>
      </c>
      <c r="C40" t="s">
        <v>328</v>
      </c>
    </row>
    <row r="41" spans="1:3" x14ac:dyDescent="0.25">
      <c r="A41">
        <f t="shared" si="0"/>
        <v>40</v>
      </c>
      <c r="B41">
        <v>12</v>
      </c>
      <c r="C41" t="s">
        <v>329</v>
      </c>
    </row>
    <row r="42" spans="1:3" x14ac:dyDescent="0.25">
      <c r="A42">
        <f t="shared" si="0"/>
        <v>41</v>
      </c>
      <c r="B42">
        <v>13</v>
      </c>
      <c r="C42" t="s">
        <v>330</v>
      </c>
    </row>
    <row r="43" spans="1:3" x14ac:dyDescent="0.25">
      <c r="A43">
        <f t="shared" si="0"/>
        <v>42</v>
      </c>
      <c r="B43">
        <v>14</v>
      </c>
      <c r="C43" t="s">
        <v>331</v>
      </c>
    </row>
    <row r="44" spans="1:3" x14ac:dyDescent="0.25">
      <c r="A44">
        <f t="shared" si="0"/>
        <v>43</v>
      </c>
      <c r="B44">
        <v>14</v>
      </c>
      <c r="C44" t="s">
        <v>332</v>
      </c>
    </row>
    <row r="45" spans="1:3" x14ac:dyDescent="0.25">
      <c r="A45">
        <f t="shared" si="0"/>
        <v>44</v>
      </c>
      <c r="B45">
        <v>14</v>
      </c>
      <c r="C45" t="s">
        <v>333</v>
      </c>
    </row>
    <row r="46" spans="1:3" x14ac:dyDescent="0.25">
      <c r="A46">
        <f t="shared" si="0"/>
        <v>45</v>
      </c>
      <c r="B46">
        <v>15</v>
      </c>
      <c r="C46" t="s">
        <v>334</v>
      </c>
    </row>
    <row r="47" spans="1:3" x14ac:dyDescent="0.25">
      <c r="A47">
        <f t="shared" si="0"/>
        <v>46</v>
      </c>
      <c r="B47">
        <v>15</v>
      </c>
      <c r="C47" t="s">
        <v>335</v>
      </c>
    </row>
    <row r="48" spans="1:3" x14ac:dyDescent="0.25">
      <c r="A48">
        <f t="shared" si="0"/>
        <v>47</v>
      </c>
      <c r="B48">
        <v>16</v>
      </c>
      <c r="C48" t="s">
        <v>336</v>
      </c>
    </row>
    <row r="49" spans="1:3" x14ac:dyDescent="0.25">
      <c r="A49">
        <f t="shared" si="0"/>
        <v>48</v>
      </c>
      <c r="B49">
        <v>16</v>
      </c>
      <c r="C49" t="s">
        <v>337</v>
      </c>
    </row>
    <row r="50" spans="1:3" x14ac:dyDescent="0.25">
      <c r="A50">
        <f t="shared" si="0"/>
        <v>49</v>
      </c>
      <c r="B50">
        <v>16</v>
      </c>
      <c r="C50" t="s">
        <v>338</v>
      </c>
    </row>
    <row r="51" spans="1:3" x14ac:dyDescent="0.25">
      <c r="A51">
        <f t="shared" si="0"/>
        <v>50</v>
      </c>
      <c r="B51">
        <v>17</v>
      </c>
      <c r="C51" t="s">
        <v>339</v>
      </c>
    </row>
    <row r="52" spans="1:3" x14ac:dyDescent="0.25">
      <c r="A52">
        <f t="shared" si="0"/>
        <v>51</v>
      </c>
      <c r="B52">
        <v>17</v>
      </c>
      <c r="C52" t="s">
        <v>340</v>
      </c>
    </row>
    <row r="53" spans="1:3" x14ac:dyDescent="0.25">
      <c r="A53">
        <f t="shared" si="0"/>
        <v>52</v>
      </c>
      <c r="B53">
        <v>17</v>
      </c>
      <c r="C53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A173-930C-480C-B78D-F1ECA8FB4CE9}">
  <dimension ref="A1:C9"/>
  <sheetViews>
    <sheetView workbookViewId="0">
      <selection activeCell="A2" sqref="A2:C9"/>
    </sheetView>
  </sheetViews>
  <sheetFormatPr defaultRowHeight="15" x14ac:dyDescent="0.25"/>
  <cols>
    <col min="1" max="1" width="17.28515625" customWidth="1"/>
    <col min="2" max="2" width="15.42578125" customWidth="1"/>
    <col min="3" max="3" width="11.42578125" bestFit="1" customWidth="1"/>
  </cols>
  <sheetData>
    <row r="1" spans="1:3" x14ac:dyDescent="0.25">
      <c r="A1" s="4" t="s">
        <v>342</v>
      </c>
      <c r="B1" s="4" t="s">
        <v>343</v>
      </c>
      <c r="C1" s="4" t="s">
        <v>344</v>
      </c>
    </row>
    <row r="2" spans="1:3" x14ac:dyDescent="0.25">
      <c r="A2" s="10"/>
      <c r="B2" s="11"/>
      <c r="C2" s="11"/>
    </row>
    <row r="3" spans="1:3" x14ac:dyDescent="0.25">
      <c r="A3" s="10"/>
      <c r="B3" s="11"/>
      <c r="C3" s="11"/>
    </row>
    <row r="4" spans="1:3" x14ac:dyDescent="0.25">
      <c r="A4" s="10"/>
      <c r="B4" s="11"/>
      <c r="C4" s="11"/>
    </row>
    <row r="5" spans="1:3" x14ac:dyDescent="0.25">
      <c r="A5" s="10"/>
      <c r="B5" s="11"/>
      <c r="C5" s="11"/>
    </row>
    <row r="6" spans="1:3" x14ac:dyDescent="0.25">
      <c r="A6" s="10"/>
      <c r="B6" s="11"/>
      <c r="C6" s="11"/>
    </row>
    <row r="7" spans="1:3" x14ac:dyDescent="0.25">
      <c r="A7" s="10"/>
      <c r="B7" s="11"/>
      <c r="C7" s="11"/>
    </row>
    <row r="8" spans="1:3" x14ac:dyDescent="0.25">
      <c r="A8" s="10"/>
      <c r="B8" s="11"/>
      <c r="C8" s="11"/>
    </row>
    <row r="9" spans="1:3" x14ac:dyDescent="0.25">
      <c r="A9" s="11"/>
      <c r="B9" s="11"/>
      <c r="C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3BB1-C1A0-495D-AB2E-62112BE4DFBD}">
  <dimension ref="A1:B6"/>
  <sheetViews>
    <sheetView workbookViewId="0">
      <selection activeCell="B6" sqref="B6"/>
    </sheetView>
  </sheetViews>
  <sheetFormatPr defaultRowHeight="15" x14ac:dyDescent="0.25"/>
  <cols>
    <col min="1" max="1" width="15.5703125" customWidth="1"/>
    <col min="2" max="2" width="24.140625" customWidth="1"/>
  </cols>
  <sheetData>
    <row r="1" spans="1:2" x14ac:dyDescent="0.25">
      <c r="A1" s="4" t="s">
        <v>231</v>
      </c>
      <c r="B1" s="4" t="s">
        <v>230</v>
      </c>
    </row>
    <row r="2" spans="1:2" x14ac:dyDescent="0.25">
      <c r="A2">
        <v>1</v>
      </c>
      <c r="B2" t="s">
        <v>232</v>
      </c>
    </row>
    <row r="3" spans="1:2" x14ac:dyDescent="0.25">
      <c r="A3">
        <v>2</v>
      </c>
      <c r="B3" t="s">
        <v>233</v>
      </c>
    </row>
    <row r="4" spans="1:2" x14ac:dyDescent="0.25">
      <c r="A4">
        <v>3</v>
      </c>
      <c r="B4" t="s">
        <v>234</v>
      </c>
    </row>
    <row r="5" spans="1:2" x14ac:dyDescent="0.25">
      <c r="A5">
        <v>4</v>
      </c>
      <c r="B5" t="s">
        <v>235</v>
      </c>
    </row>
    <row r="6" spans="1:2" x14ac:dyDescent="0.25">
      <c r="A6">
        <v>5</v>
      </c>
      <c r="B6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B384-7939-4869-85F4-FAA4A1D5EE2C}">
  <dimension ref="A1:F19"/>
  <sheetViews>
    <sheetView workbookViewId="0">
      <selection activeCell="F22" sqref="F22"/>
    </sheetView>
  </sheetViews>
  <sheetFormatPr defaultRowHeight="15" x14ac:dyDescent="0.25"/>
  <cols>
    <col min="1" max="1" width="72.140625" customWidth="1"/>
  </cols>
  <sheetData>
    <row r="1" spans="1:6" x14ac:dyDescent="0.25">
      <c r="A1" t="s">
        <v>72</v>
      </c>
    </row>
    <row r="2" spans="1:6" x14ac:dyDescent="0.25">
      <c r="A2" t="s">
        <v>104</v>
      </c>
      <c r="B2" t="s">
        <v>87</v>
      </c>
    </row>
    <row r="3" spans="1:6" x14ac:dyDescent="0.25">
      <c r="A3" t="s">
        <v>73</v>
      </c>
    </row>
    <row r="4" spans="1:6" x14ac:dyDescent="0.25">
      <c r="A4" t="s">
        <v>74</v>
      </c>
    </row>
    <row r="5" spans="1:6" x14ac:dyDescent="0.25">
      <c r="A5">
        <v>681.18</v>
      </c>
      <c r="B5" t="s">
        <v>75</v>
      </c>
    </row>
    <row r="6" spans="1:6" x14ac:dyDescent="0.25">
      <c r="A6">
        <v>582.17999999999995</v>
      </c>
      <c r="B6" t="s">
        <v>76</v>
      </c>
    </row>
    <row r="7" spans="1:6" x14ac:dyDescent="0.25">
      <c r="A7" t="s">
        <v>78</v>
      </c>
    </row>
    <row r="8" spans="1:6" x14ac:dyDescent="0.25">
      <c r="A8" t="s">
        <v>77</v>
      </c>
    </row>
    <row r="10" spans="1:6" x14ac:dyDescent="0.25">
      <c r="A10" t="s">
        <v>79</v>
      </c>
      <c r="B10" t="s">
        <v>80</v>
      </c>
      <c r="F10" t="s">
        <v>81</v>
      </c>
    </row>
    <row r="12" spans="1:6" x14ac:dyDescent="0.25">
      <c r="A12" t="s">
        <v>82</v>
      </c>
    </row>
    <row r="13" spans="1:6" x14ac:dyDescent="0.25">
      <c r="A13" s="12" t="s">
        <v>367</v>
      </c>
    </row>
    <row r="14" spans="1:6" x14ac:dyDescent="0.25">
      <c r="A14" s="12" t="s">
        <v>368</v>
      </c>
    </row>
    <row r="15" spans="1:6" x14ac:dyDescent="0.25">
      <c r="A15" s="12" t="s">
        <v>369</v>
      </c>
    </row>
    <row r="16" spans="1:6" x14ac:dyDescent="0.25">
      <c r="A16" s="12" t="s">
        <v>370</v>
      </c>
    </row>
    <row r="17" spans="1:1" x14ac:dyDescent="0.25">
      <c r="A17" s="13" t="s">
        <v>371</v>
      </c>
    </row>
    <row r="19" spans="1:1" x14ac:dyDescent="0.25">
      <c r="A19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 Search</vt:lpstr>
      <vt:lpstr>TechSkills</vt:lpstr>
      <vt:lpstr>WorkHistory</vt:lpstr>
      <vt:lpstr>WorkHistoryAccomplishments</vt:lpstr>
      <vt:lpstr>References</vt:lpstr>
      <vt:lpstr>CoreCompetencies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Seeber</dc:creator>
  <cp:lastModifiedBy>Theodore Seeber</cp:lastModifiedBy>
  <cp:lastPrinted>2024-03-19T16:10:21Z</cp:lastPrinted>
  <dcterms:created xsi:type="dcterms:W3CDTF">2024-03-18T14:17:25Z</dcterms:created>
  <dcterms:modified xsi:type="dcterms:W3CDTF">2024-04-04T15:32:10Z</dcterms:modified>
</cp:coreProperties>
</file>